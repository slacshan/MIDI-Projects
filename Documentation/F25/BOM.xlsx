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xin\Documents\MIDI-Projects\Documentation\F25\"/>
    </mc:Choice>
  </mc:AlternateContent>
  <xr:revisionPtr revIDLastSave="0" documentId="13_ncr:1_{94788670-424E-4AA4-A31D-0A9A16703FDF}" xr6:coauthVersionLast="47" xr6:coauthVersionMax="47" xr10:uidLastSave="{00000000-0000-0000-0000-000000000000}"/>
  <bookViews>
    <workbookView xWindow="-120" yWindow="-120" windowWidth="29040" windowHeight="15720" activeTab="2" xr2:uid="{A83A8560-5CBD-4349-BA30-694DDB52E494}"/>
  </bookViews>
  <sheets>
    <sheet name="Sheet1" sheetId="1" r:id="rId1"/>
    <sheet name="Print1" sheetId="2" r:id="rId2"/>
    <sheet name="Prin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G14" i="3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J7" i="3"/>
  <c r="K7" i="3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  <c r="I40" i="1"/>
  <c r="H38" i="1"/>
  <c r="I38" i="1"/>
  <c r="I44" i="1"/>
  <c r="H44" i="1"/>
  <c r="H45" i="1"/>
  <c r="I45" i="1" s="1"/>
  <c r="H52" i="1"/>
  <c r="H53" i="1"/>
  <c r="I53" i="1" s="1"/>
  <c r="H54" i="1"/>
  <c r="I54" i="1" s="1"/>
  <c r="H55" i="1"/>
  <c r="I55" i="1" s="1"/>
  <c r="I51" i="1"/>
  <c r="H51" i="1"/>
  <c r="H46" i="1"/>
  <c r="I46" i="1" s="1"/>
  <c r="I50" i="1"/>
  <c r="H50" i="1"/>
  <c r="H47" i="1"/>
  <c r="I47" i="1" s="1"/>
  <c r="I41" i="1"/>
  <c r="H41" i="1"/>
  <c r="I42" i="1"/>
  <c r="H42" i="1"/>
  <c r="I43" i="1"/>
  <c r="H43" i="1"/>
  <c r="I49" i="1"/>
  <c r="H49" i="1"/>
  <c r="I48" i="1"/>
  <c r="H48" i="1"/>
  <c r="I39" i="1"/>
  <c r="H40" i="1"/>
  <c r="H39" i="1"/>
  <c r="H37" i="1"/>
  <c r="I37" i="1"/>
  <c r="E41" i="1"/>
  <c r="H36" i="1"/>
  <c r="I36" i="1"/>
  <c r="T24" i="1"/>
  <c r="H35" i="1"/>
  <c r="I35" i="1"/>
  <c r="H34" i="1"/>
  <c r="I34" i="1"/>
  <c r="H33" i="1"/>
  <c r="I33" i="1" s="1"/>
  <c r="H32" i="1"/>
  <c r="I32" i="1" s="1"/>
  <c r="I31" i="1"/>
  <c r="H31" i="1"/>
  <c r="H30" i="1"/>
  <c r="I30" i="1" s="1"/>
  <c r="H29" i="1"/>
  <c r="I29" i="1"/>
  <c r="H28" i="1"/>
  <c r="I28" i="1"/>
  <c r="H27" i="1"/>
  <c r="I27" i="1" s="1"/>
  <c r="H26" i="1"/>
  <c r="I26" i="1" s="1"/>
  <c r="H25" i="1"/>
  <c r="I25" i="1"/>
  <c r="H24" i="1"/>
  <c r="I24" i="1" s="1"/>
  <c r="H20" i="1"/>
  <c r="I20" i="1"/>
  <c r="H21" i="1"/>
  <c r="I21" i="1"/>
  <c r="H22" i="1"/>
  <c r="I22" i="1"/>
  <c r="H23" i="1"/>
  <c r="I23" i="1"/>
  <c r="H19" i="1"/>
  <c r="I19" i="1"/>
  <c r="H18" i="1"/>
  <c r="I18" i="1"/>
  <c r="H17" i="1"/>
  <c r="I17" i="1"/>
  <c r="H16" i="1"/>
  <c r="I16" i="1" s="1"/>
  <c r="H15" i="1"/>
  <c r="I15" i="1" s="1"/>
  <c r="H14" i="1"/>
  <c r="I14" i="1" s="1"/>
  <c r="H10" i="1"/>
  <c r="I10" i="1" s="1"/>
  <c r="H11" i="1"/>
  <c r="I11" i="1"/>
  <c r="H12" i="1"/>
  <c r="I12" i="1"/>
  <c r="H13" i="1"/>
  <c r="I13" i="1"/>
  <c r="H9" i="1"/>
  <c r="I9" i="1"/>
  <c r="H8" i="1"/>
  <c r="I8" i="1"/>
  <c r="H7" i="1"/>
  <c r="I7" i="1"/>
  <c r="H6" i="1"/>
  <c r="I6" i="1"/>
  <c r="H4" i="1"/>
  <c r="I5" i="1"/>
  <c r="H5" i="1"/>
  <c r="I3" i="1"/>
  <c r="H3" i="1"/>
  <c r="I4" i="1"/>
  <c r="H2" i="1"/>
  <c r="I2" i="1" s="1"/>
  <c r="T25" i="1" l="1"/>
  <c r="T26" i="1"/>
  <c r="T27" i="1" s="1"/>
  <c r="I52" i="1"/>
</calcChain>
</file>

<file path=xl/sharedStrings.xml><?xml version="1.0" encoding="utf-8"?>
<sst xmlns="http://schemas.openxmlformats.org/spreadsheetml/2006/main" count="471" uniqueCount="186">
  <si>
    <t>Category</t>
  </si>
  <si>
    <t>Item Name</t>
  </si>
  <si>
    <t>Quantity</t>
  </si>
  <si>
    <t>Price</t>
  </si>
  <si>
    <t>Subtotal</t>
  </si>
  <si>
    <t>Vender Name/ID</t>
  </si>
  <si>
    <t>Vendor</t>
  </si>
  <si>
    <t>Item Link</t>
  </si>
  <si>
    <t>Electronics</t>
  </si>
  <si>
    <t>CWT Price</t>
  </si>
  <si>
    <t>Unit</t>
  </si>
  <si>
    <t>Diode, LED, 0805</t>
  </si>
  <si>
    <t>Each</t>
  </si>
  <si>
    <t>Diode, 0805</t>
  </si>
  <si>
    <t>478-SD0805S040S1R0CT-ND</t>
  </si>
  <si>
    <t>Digikey</t>
  </si>
  <si>
    <t>https://www.digikey.com/en/products/detail/kyocera-avx/SD0805S040S1R0/13557251</t>
  </si>
  <si>
    <t xml:space="preserve"> </t>
  </si>
  <si>
    <t xml:space="preserve">Diode, IR LED, </t>
  </si>
  <si>
    <t xml:space="preserve"> 78-VSMA1094250 </t>
  </si>
  <si>
    <t>Mouser</t>
  </si>
  <si>
    <t>https://www.mouser.com/ProductDetail/Vishay-Semiconductors/VSMA1094250?qs=pBJMDPsKWf2rcBfgrt%252BzqQ%3D%3D</t>
  </si>
  <si>
    <t xml:space="preserve"> 607-CMDA5AR7D1S </t>
  </si>
  <si>
    <t>https://www.mouser.com/ProductDetail/VCC/CMDA5AR7D1S?qs=sGAEpiMZZMvVL5Kk7ZYykXsk1Jcl2Lhjdx6FZebcgbk%3D</t>
  </si>
  <si>
    <t>Connector, RJ11</t>
  </si>
  <si>
    <t xml:space="preserve"> 710-615004141121 </t>
  </si>
  <si>
    <t>https://www.mouser.com/ProductDetail/710-615004141121</t>
  </si>
  <si>
    <t>Connector, MIDI, DIN 5</t>
  </si>
  <si>
    <t xml:space="preserve"> 502-57PC5F </t>
  </si>
  <si>
    <t>https://www.mouser.com/ProductDetail/Switchcraft/57PC5F?qs=MW%252B0w7tSdpkWuZd7MBoFPA%3D%3D</t>
  </si>
  <si>
    <t xml:space="preserve">  </t>
  </si>
  <si>
    <t>Connector, Locking 2 Pin Molex, Crimp F</t>
  </si>
  <si>
    <t>Connector, Locking 2 Pin Molex, Crimp M</t>
  </si>
  <si>
    <t>Connector, Locking 8 Pin Molex, Crimp M</t>
  </si>
  <si>
    <t>Connector, Locking 2 Pin Molex, Board THT F</t>
  </si>
  <si>
    <t>Connector, Locking 8 Pin Molex, Board SMD F</t>
  </si>
  <si>
    <t>https://www.digikey.com/en/products/detail/molex/0430450202/252532</t>
  </si>
  <si>
    <t>WM1819-ND</t>
  </si>
  <si>
    <t>WM1783-ND</t>
  </si>
  <si>
    <t>https://www.digikey.com/en/products/detail/molex/0430250200/252496</t>
  </si>
  <si>
    <t>https://www.digikey.com/en/products/detail/molex/0430200201/1132437</t>
  </si>
  <si>
    <t>WM2761-ND</t>
  </si>
  <si>
    <t>Pin, Molex, F</t>
  </si>
  <si>
    <t>Pin, Molex, M</t>
  </si>
  <si>
    <t>WM1841CT-ND</t>
  </si>
  <si>
    <t>https://www.digikey.com/en/products/detail/molex/0430300001/467796</t>
  </si>
  <si>
    <t>WM1837CT-ND</t>
  </si>
  <si>
    <t>https://www.digikey.com/en/products/detail/molex/0430310001/467798?s=N4IgTCBcDaIOoFkCMAOALEgwgFQLQDkAREAXQF8g</t>
  </si>
  <si>
    <t>WM1828CT-ND</t>
  </si>
  <si>
    <t>https://www.digikey.com/en/products/detail/molex/0430450809/3660014</t>
  </si>
  <si>
    <t>WM1786-ND</t>
  </si>
  <si>
    <t>https://www.digikey.com/en/products/detail/molex/0430250800/252499</t>
  </si>
  <si>
    <t>Capacitor, 10µF, Radial THT</t>
  </si>
  <si>
    <t>1189-2322-ND</t>
  </si>
  <si>
    <t>https://www.digikey.com/en/products/detail/rubycon/50YXJ10M5X11/3562914</t>
  </si>
  <si>
    <t>Header, 100mils</t>
  </si>
  <si>
    <t>Row of 30</t>
  </si>
  <si>
    <t>612-TS-130-T-A-1-ND</t>
  </si>
  <si>
    <t>https://www.digikey.com/en/products/detail/samtec-inc/TS-130-T-A-1/9774113</t>
  </si>
  <si>
    <t>Resistor, 2Ω, 2W</t>
  </si>
  <si>
    <t>https://www.mouser.com/ProductDetail/Bourns/PWR220T-20-2R00F?qs=sGAEpiMZZMtlubZbdhIBIIFas8kKGM5fidmq4iLVFG8%3D</t>
  </si>
  <si>
    <t xml:space="preserve"> 652-PWR220T-20-2R00F </t>
  </si>
  <si>
    <t>Resistor, 330Ω, 0805</t>
  </si>
  <si>
    <t xml:space="preserve"> 594-MCU08050C3300FP5 </t>
  </si>
  <si>
    <t>https://www.mouser.com/ProductDetail/Vishay-Beyschlag/MCU08050C3300FP500?qs=sGAEpiMZZMtlubZbdhIBIHIEm3drdiPaRFRPdrTfGJk%3D</t>
  </si>
  <si>
    <t>Resistor, 330Ω, SIP</t>
  </si>
  <si>
    <t>https://www.mouser.com/ProductDetail/Bourns/4309R-101-331LF?qs=RXY66VkWzhTIgmSSRT6%2FDg%3D%3D</t>
  </si>
  <si>
    <t xml:space="preserve"> 652-4309R-1LF-330 </t>
  </si>
  <si>
    <t>Resistor, 1KΩ, 0805</t>
  </si>
  <si>
    <t>Resistor, 1KΩ, SIP</t>
  </si>
  <si>
    <t>Resistor, 2.2KΩ, 0805</t>
  </si>
  <si>
    <t>Resistor, 10KΩ, 0805</t>
  </si>
  <si>
    <t>Resistor, 10KΩ, SIP</t>
  </si>
  <si>
    <t xml:space="preserve"> 71-CSC09A011K00FEK </t>
  </si>
  <si>
    <t>https://www.mouser.com/ProductDetail/Vishay-Dale/CSC09A011K00FEK?qs=OgjFRtkRU9G%252B5xvKRBL7NA%3D%3D</t>
  </si>
  <si>
    <t xml:space="preserve"> 71-CSC09A0110K0GEK </t>
  </si>
  <si>
    <t>https://www.mouser.com/ProductDetail/Vishay-Dale/CSC09A0110K0GEK?qs=Jzz%252BfO4IBMfusae2i1IhQQ%3D%3D</t>
  </si>
  <si>
    <t xml:space="preserve"> 594-MCU0805MD1002BP5 </t>
  </si>
  <si>
    <t>https://www.mouser.com/ProductDetail/Vishay-Beyschlag/MCU0805MD1002BP500?qs=sGAEpiMZZMvdGkrng054t9RdslPTmYphyPdk%252BwtivVtccRtVV2hssQ%3D%3D</t>
  </si>
  <si>
    <t xml:space="preserve">667-ERA-6AED222V </t>
  </si>
  <si>
    <t>https://www.mouser.com/ProductDetail/Panasonic/ERA-6AED222V?qs=sGAEpiMZZMvdGkrng054t5mej2KPdPuFyxnSeBnKqrg%3D</t>
  </si>
  <si>
    <t>https://www.mouser.com/ProductDetail/Panasonic/ERA-6AED102V?qs=sGAEpiMZZMvdGkrng054t5mej2KPdPuFdGR0mNxKO%252B4%3D</t>
  </si>
  <si>
    <t xml:space="preserve"> 667-ERA-6AED102V </t>
  </si>
  <si>
    <t>MOSFET, IRF540N, TO-220</t>
  </si>
  <si>
    <t>IRF540NPBF-ND</t>
  </si>
  <si>
    <t>https://www.digikey.com/en/products/detail/infineon-technologies/IRF540NPBF/811869</t>
  </si>
  <si>
    <t>MOSFET, MCP14E3, SOIC</t>
  </si>
  <si>
    <t>MCP14E3-E/SN-ND</t>
  </si>
  <si>
    <t>https://www.digikey.com/en/products/detail/microchip-technology/MCP14E3-E-SN/1680842</t>
  </si>
  <si>
    <t>Switch, Push Button, THT</t>
  </si>
  <si>
    <t>Switch, SPST, 8 Pin DIP</t>
  </si>
  <si>
    <t xml:space="preserve"> 506-FSM2JSMAATR </t>
  </si>
  <si>
    <t>https://www.mouser.com/ProductDetail/TE-Connectivity-Alcoswitch/FSM2JSMAATR?qs=g%252BEszo6zu8MKdISiZRITCQ%3D%3D</t>
  </si>
  <si>
    <t>CT2104MS-ND</t>
  </si>
  <si>
    <t>https://www.digikey.com/en/products/detail/cts-electrocomponents/210-4MS/2503781</t>
  </si>
  <si>
    <t>Crystal, 1MHz, DIP</t>
  </si>
  <si>
    <t>110-MXO45HST-3C-1M000000-ND</t>
  </si>
  <si>
    <t>https://www.digikey.com/en/products/detail/cts-frequency-controls/MXO45HST-3C-1M000000/1801908</t>
  </si>
  <si>
    <t>Opto-Isolator, LTV-247</t>
  </si>
  <si>
    <t>160-2255-1-ND</t>
  </si>
  <si>
    <t>https://www.digikey.com/en/products/detail/liteon/LTV-247/4307982?s=N4IgTCBcDaIDYBcBuBaMAWA7CAugXyA</t>
  </si>
  <si>
    <t>Microprocessor, PIC16F1788, SOIC</t>
  </si>
  <si>
    <t>PIC16F1788-I/SO-ND</t>
  </si>
  <si>
    <t>https://www.digikey.com/en/products/detail/microchip-technology/PIC16F1788-I-SO/4080106</t>
  </si>
  <si>
    <t>Wire, 22AWG, Solid</t>
  </si>
  <si>
    <t>Feet</t>
  </si>
  <si>
    <t>https://www.mouser.com/ProductDetail/Belden-Wire-Cable/83049-006100?qs=OVCqYLLnee0zC1gM5G5Wqw%3D%3D</t>
  </si>
  <si>
    <t xml:space="preserve">566-83049-100-06 </t>
  </si>
  <si>
    <t>PCB, Universal Master</t>
  </si>
  <si>
    <t>PCB, Universal Slave</t>
  </si>
  <si>
    <t>PCB, Universal Solenoid Relay</t>
  </si>
  <si>
    <t>PCB, MIDI IR Tx</t>
  </si>
  <si>
    <t>PCB way</t>
  </si>
  <si>
    <t>JB_MIDI_Master</t>
  </si>
  <si>
    <t>JB_MIDI_Slave</t>
  </si>
  <si>
    <t>JB_Solenoid</t>
  </si>
  <si>
    <t>JB_IR_Tx</t>
  </si>
  <si>
    <t>N/A</t>
  </si>
  <si>
    <t>Electrical</t>
  </si>
  <si>
    <t>For Presentation</t>
  </si>
  <si>
    <t>Hardware</t>
  </si>
  <si>
    <t>Labor</t>
  </si>
  <si>
    <t>Total</t>
  </si>
  <si>
    <t>2020 Extrusion Aluminnium, Black</t>
  </si>
  <si>
    <t>Amazon</t>
  </si>
  <si>
    <t>https://www.amazon.com/Aluminum-Extrusion-European-Standard-15-75inch/dp/B08Y8M383Q/ref=sr_1_3?crid=10883RZZXSWPW&amp;dib=eyJ2IjoiMSJ9.R0pNkpJiePxW5PZW6Cx9TqbYKh6DJ7vX0c8IJTY_hgAuZ7Xfcx_Abdzvy06gyu8OpJ7BLuKiGunkvq_Oxtd1malU4J154OrVggfBDgNCf6t_5HDnq2iTngpOknsXVsFkeTOCgSw5A7Cg8Qva84ekDkkxmpCs-0v5UOG4x1aKWGHJkX-9uGm8cmRmWmAwfHXzHKxxhvs7sDy_aWrXp0LSUcixYsNwJTyZLsLrzwT9Q40.fAWqPADHFPPY9TG5JHmtgD84EOwH5wXmVgbRexFomdk&amp;dib_tag=se&amp;keywords=2020%2Bextrusion&amp;qid=1765860638&amp;sprefix=2020%2Bextr%2Caps%2C145&amp;sr=8-3&amp;th=1</t>
  </si>
  <si>
    <t xml:space="preserve"> B08Y8M383Q</t>
  </si>
  <si>
    <t>Bolt, M4 x 6mm</t>
  </si>
  <si>
    <t>Bolt, M5 x 10mm</t>
  </si>
  <si>
    <t>Bolt, M3 x 5mm</t>
  </si>
  <si>
    <t>Insert, M3</t>
  </si>
  <si>
    <t>Solenoid, 25N</t>
  </si>
  <si>
    <t>Bass Guitar</t>
  </si>
  <si>
    <t>Filament, 1.75mm</t>
  </si>
  <si>
    <t>Bolt, M2 x 12mm</t>
  </si>
  <si>
    <t>Nut, M2</t>
  </si>
  <si>
    <t>Pack of 25</t>
  </si>
  <si>
    <t>Nut, M5 2020 extrusion nut</t>
  </si>
  <si>
    <t>McMASTER-CARR</t>
  </si>
  <si>
    <t>https://www.mcmaster.com/92137A414/</t>
  </si>
  <si>
    <t>92137A414</t>
  </si>
  <si>
    <t>https://www.mcmaster.com/91290A139/</t>
  </si>
  <si>
    <t>91290A139</t>
  </si>
  <si>
    <t>Pack of 100</t>
  </si>
  <si>
    <t>91290A110</t>
  </si>
  <si>
    <t>https://www.mcmaster.com/91290A110/</t>
  </si>
  <si>
    <t>https://www.mcmaster.com/91290A019/</t>
  </si>
  <si>
    <t>91290A019</t>
  </si>
  <si>
    <t>90593A024</t>
  </si>
  <si>
    <t>Pack of 50</t>
  </si>
  <si>
    <t>https://www.mcmaster.com/91309A540/</t>
  </si>
  <si>
    <t>91309A540</t>
  </si>
  <si>
    <t>92105A208</t>
  </si>
  <si>
    <t>https://www.mcmaster.com/92105A208/</t>
  </si>
  <si>
    <t>94180A331</t>
  </si>
  <si>
    <t>https://www.mcmaster.com/94180A331/</t>
  </si>
  <si>
    <t>Weather stripping, 3/8"</t>
  </si>
  <si>
    <t>Bolt, 1/4"-20 x 3/4"</t>
  </si>
  <si>
    <t>Insert, 1/4"-20</t>
  </si>
  <si>
    <t>Grams, 1Kg Spool</t>
  </si>
  <si>
    <t>https://www.amazon.com/SUNLU-Printer-Filament-Dimensional-Clear/dp/B0C3J1X41K/ref=sr_1_3?crid=1BF4C1AVVVY7C&amp;dib=eyJ2IjoiMSJ9.uHO_RtwANQlBn3JFBGzMz6yLSKkCiyms4KGRLjWbiEagAVCCQ_8TvtLDb82fJtvj-x1KzB_EOAZWDwSrN9MeaBNOUz7G4iZUkzUNhATqWjaG-poMpEajUeJfe8KPZMrffqaFCdjRZS_Xjq-sCnZzU9sWMIzPoHzjgFmpRhugbrsY0U-nkdxETIaDoKiS328mH4CxsC41QfBRqLhl2N_krrwMRaTOGlcN8B2R8gZiA8Q.KyZp65f3fsAqrUWuYANhgbrDXv_W8jqW9DbxSCrzvBE&amp;dib_tag=se&amp;keywords=transparent%2Borange%2B1.75mm&amp;qid=1765862903&amp;sprefix=transparent%2Borange%2B1.75mm%2B%2Caps%2C127&amp;sr=8-3&amp;th=1</t>
  </si>
  <si>
    <t>B0C3J1X41K</t>
  </si>
  <si>
    <t>https://www.amazon.com/Weather-Stripping-Adhesive-Silicone-Shaped/dp/B0DHZ3M2PP/ref=sr_1_1?crid=2PGOGMTKAHLHH&amp;dib=eyJ2IjoiMSJ9.EBVtaka6C3J2JO9XHGLvk6pZXM5Bn-OC6h6M93o8DdmXAY8F1OPBW90Ii8b0B8XgMCtCE4hkFjfQxYdt55uL0wEROgoBNBGLOlmXfIzJseTix3JJlc_yZl0O0jrUkro4OfxN9vciL2Hylx-atV_jCGG5wnI0wcJgzWB_7yFSWUziOyclmTO1-k0MtF512wmxEy7vbsNvGoCJGzMrl92BPt2kzpDeWf8aECOPsfBEMYErezl3iyN0KQwcSzWRsdaa8NnRY1ZIs7xm9Fy64B4vkizbjRvcaVJDkupsIP1uwhU.hRXDzF6D6wF3rMK2INLkv6QP567Dc5mrsV08mZftKrs&amp;dib_tag=se&amp;keywords=3%2F8%2Bweather%2Bstripping%2B3m&amp;qid=1765862986&amp;sprefix=3%2F8%2Bweather%2Bstripping%2B3m%2Caps%2C137&amp;sr=8-1&amp;th=1</t>
  </si>
  <si>
    <t>Feet, 20ft Roll</t>
  </si>
  <si>
    <t>B0DHZ3M2PP</t>
  </si>
  <si>
    <t>https://www.amazon.com/GLARRY-Electric-Beginner-Exquisite-Accessories/dp/B09CTHDSCM/ref=sr_1_1_sspa?crid=3ANISYCDR2PW3&amp;dib=eyJ2IjoiMSJ9.J8HX9m2cZrPdI3UWFNqts6_GRvweCU5g8Qyi2_vaxxnMIn-tTu2MfKm0K61QhA5I5zpzjoZiUmrPjEcWYi7o0vcw6PU97-tFSS165ju4ibAPHq5_kxGLJBX9S_69jO0yBQkEQb-qRpbEivF80Hg4N-uVB1h1dWEcaeR7wnoUBG5xq4vQaBV9D_Q47vLDrdverRv_lOsUHXqOQGN_PN8KtJpjRP6iGtWoc3w3HYtWqOofKiETlDX1bt_Hn6NInC9OM_4a4WZJyOxhfWRe2X6prtrim-4VEzgTwZPtYJn7UtA.CPmsFgVtFWzWNgEBDxitH3aKLHJWnhrThTTKkFHimvw&amp;dib_tag=se&amp;keywords=bass%2Bguitar&amp;qid=1765863120&amp;sprefix=bass%2Bguita%2Caps%2C155&amp;sr=8-1-spons&amp;sp_csd=d2lkZ2V0TmFtZT1zcF9hdGY&amp;th=1</t>
  </si>
  <si>
    <t>B09CTHDSCM</t>
  </si>
  <si>
    <t>https://www.mcmaster.com/90593A024/</t>
  </si>
  <si>
    <t>CE2204SN-41-1000-ND</t>
  </si>
  <si>
    <t>Cable, 4 Wire, 18 AWG</t>
  </si>
  <si>
    <t>Feet, 1000ft Roll</t>
  </si>
  <si>
    <t>https://www.digikey.com/en/products/detail/encore-wire/E2204S-41-86/618553</t>
  </si>
  <si>
    <t>Justin</t>
  </si>
  <si>
    <t>Brandon</t>
  </si>
  <si>
    <t>Jason</t>
  </si>
  <si>
    <t>Payden</t>
  </si>
  <si>
    <t>Hours</t>
  </si>
  <si>
    <t>Solenoid, 5N</t>
  </si>
  <si>
    <t>https://www.amazon.com/JF-0530B-gangbei-0530B-Electromagnet-keepping-Solenoid/dp/B07V3JRDLJ?th=1</t>
  </si>
  <si>
    <t xml:space="preserve"> B07V3JRDLJ</t>
  </si>
  <si>
    <t>https://www.amazon.com/AARTERZZA-JF-1039B-Push-Pull-Solenoid-Electromagnet/dp/B0DJVL6MHG?th=1</t>
  </si>
  <si>
    <t>https://www.amazon.com/Yaocom-European-Standard-Aluminum-Extrusion/dp/B0DX7B5ZNN/ref=sr_1_3?dib=eyJ2IjoiMSJ9.dnPBW5BnGWFI7alZa4I2U-eVIo5GXTpxHJ9tQMCOqZxXMZPrh3lK9sBZdB6eNKI7a_ZoQK8DljT8j86EjeJB-TgIjBv-7rR1aWPd3Za75LvZ6xV36SRWb3nkD_9LcJV4SBCgqPJvykjxeW4zMrXNekWu9XvrzbX6PY3tsirpeNhu1zFpZ2WD0UqR3vN_whM5FQffhRQ2tPdUu8WPP_oVwzEKxtiEkEmALW8h0yRnwVY.X_WCrDJoZ7GpA7NadGh_qshU4Mp-sX0PWu2dVc1ia4c&amp;dib_tag=se&amp;keywords=m5%2B2020%2Bnut&amp;qid=1766005804&amp;sr=8-3&amp;th=1</t>
  </si>
  <si>
    <t>B0DJVL6MHG</t>
  </si>
  <si>
    <t>All PCB</t>
  </si>
  <si>
    <t>Page 89</t>
  </si>
  <si>
    <t>Page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</si>
</sst>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0" xfId="0" applyAlignment="1">
      <alignment horizont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rubycon/50YXJ10M5X11/3562914" TargetMode="External"/><Relationship Id="rId18" Type="http://schemas.openxmlformats.org/officeDocument/2006/relationships/hyperlink" Target="https://www.mouser.com/ProductDetail/Vishay-Dale/CSC09A011K00FEK?qs=OgjFRtkRU9G%252B5xvKRBL7NA%3D%3D" TargetMode="External"/><Relationship Id="rId26" Type="http://schemas.openxmlformats.org/officeDocument/2006/relationships/hyperlink" Target="https://www.digikey.com/en/products/detail/cts-electrocomponents/210-4MS/2503781" TargetMode="External"/><Relationship Id="rId39" Type="http://schemas.openxmlformats.org/officeDocument/2006/relationships/hyperlink" Target="https://www.amazon.com/SUNLU-Printer-Filament-Dimensional-Clear/dp/B0C3J1X41K/ref=sr_1_3?crid=1BF4C1AVVVY7C&amp;dib=eyJ2IjoiMSJ9.uHO_RtwANQlBn3JFBGzMz6yLSKkCiyms4KGRLjWbiEagAVCCQ_8TvtLDb82fJtvj-x1KzB_EOAZWDwSrN9MeaBNOUz7G4iZUkzUNhATqWjaG-poMpEajUeJfe8KPZMrffqaFCdjRZS_Xjq-sCnZzU9sWMIzPoHzjgFmpRhugbrsY0U-nkdxETIaDoKiS328mH4CxsC41QfBRqLhl2N_krrwMRaTOGlcN8B2R8gZiA8Q.KyZp65f3fsAqrUWuYANhgbrDXv_W8jqW9DbxSCrzvBE&amp;dib_tag=se&amp;keywords=transparent%2Borange%2B1.75mm&amp;qid=1765862903&amp;sprefix=transparent%2Borange%2B1.75mm%2B%2Caps%2C127&amp;sr=8-3&amp;th=1" TargetMode="External"/><Relationship Id="rId21" Type="http://schemas.openxmlformats.org/officeDocument/2006/relationships/hyperlink" Target="https://www.mouser.com/ProductDetail/Panasonic/ERA-6AED222V?qs=sGAEpiMZZMvdGkrng054t5mej2KPdPuFyxnSeBnKqrg%3D" TargetMode="External"/><Relationship Id="rId34" Type="http://schemas.openxmlformats.org/officeDocument/2006/relationships/hyperlink" Target="https://www.mcmaster.com/91290A110/" TargetMode="External"/><Relationship Id="rId42" Type="http://schemas.openxmlformats.org/officeDocument/2006/relationships/hyperlink" Target="https://www.amazon.com/JF-0530B-gangbei-0530B-Electromagnet-keepping-Solenoid/dp/B07V3JRDLJ?th=1" TargetMode="External"/><Relationship Id="rId7" Type="http://schemas.openxmlformats.org/officeDocument/2006/relationships/hyperlink" Target="https://www.digikey.com/en/products/detail/molex/0430250200/252496" TargetMode="External"/><Relationship Id="rId2" Type="http://schemas.openxmlformats.org/officeDocument/2006/relationships/hyperlink" Target="https://www.mouser.com/ProductDetail/Vishay-Semiconductors/VSMA1094250?qs=pBJMDPsKWf2rcBfgrt%252BzqQ%3D%3D" TargetMode="External"/><Relationship Id="rId16" Type="http://schemas.openxmlformats.org/officeDocument/2006/relationships/hyperlink" Target="https://www.mouser.com/ProductDetail/Vishay-Beyschlag/MCU08050C3300FP500?qs=sGAEpiMZZMtlubZbdhIBIHIEm3drdiPaRFRPdrTfGJk%3D" TargetMode="External"/><Relationship Id="rId29" Type="http://schemas.openxmlformats.org/officeDocument/2006/relationships/hyperlink" Target="https://www.digikey.com/en/products/detail/microchip-technology/PIC16F1788-I-SO/4080106" TargetMode="External"/><Relationship Id="rId1" Type="http://schemas.openxmlformats.org/officeDocument/2006/relationships/hyperlink" Target="https://www.digikey.com/en/products/detail/kyocera-avx/SD0805S040S1R0/13557251" TargetMode="External"/><Relationship Id="rId6" Type="http://schemas.openxmlformats.org/officeDocument/2006/relationships/hyperlink" Target="https://www.digikey.com/en/products/detail/molex/0430450202/252532" TargetMode="External"/><Relationship Id="rId11" Type="http://schemas.openxmlformats.org/officeDocument/2006/relationships/hyperlink" Target="https://www.digikey.com/en/products/detail/molex/0430450809/3660014" TargetMode="External"/><Relationship Id="rId24" Type="http://schemas.openxmlformats.org/officeDocument/2006/relationships/hyperlink" Target="https://www.digikey.com/en/products/detail/microchip-technology/MCP14E3-E-SN/1680842" TargetMode="External"/><Relationship Id="rId32" Type="http://schemas.openxmlformats.org/officeDocument/2006/relationships/hyperlink" Target="https://www.mcmaster.com/92137A414/" TargetMode="External"/><Relationship Id="rId37" Type="http://schemas.openxmlformats.org/officeDocument/2006/relationships/hyperlink" Target="https://www.mcmaster.com/92105A208/" TargetMode="External"/><Relationship Id="rId40" Type="http://schemas.openxmlformats.org/officeDocument/2006/relationships/hyperlink" Target="https://www.mcmaster.com/90593A024/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mouser.com/ProductDetail/Switchcraft/57PC5F?qs=MW%252B0w7tSdpkWuZd7MBoFPA%3D%3D" TargetMode="External"/><Relationship Id="rId15" Type="http://schemas.openxmlformats.org/officeDocument/2006/relationships/hyperlink" Target="https://www.mouser.com/ProductDetail/Bourns/PWR220T-20-2R00F?qs=sGAEpiMZZMtlubZbdhIBIIFas8kKGM5fidmq4iLVFG8%3D" TargetMode="External"/><Relationship Id="rId23" Type="http://schemas.openxmlformats.org/officeDocument/2006/relationships/hyperlink" Target="https://www.digikey.com/en/products/detail/infineon-technologies/IRF540NPBF/811869" TargetMode="External"/><Relationship Id="rId28" Type="http://schemas.openxmlformats.org/officeDocument/2006/relationships/hyperlink" Target="https://www.digikey.com/en/products/detail/liteon/LTV-247/4307982?s=N4IgTCBcDaIDYBcBuBaMAWA7CAugXyA" TargetMode="External"/><Relationship Id="rId36" Type="http://schemas.openxmlformats.org/officeDocument/2006/relationships/hyperlink" Target="https://www.mcmaster.com/91309A540/" TargetMode="External"/><Relationship Id="rId10" Type="http://schemas.openxmlformats.org/officeDocument/2006/relationships/hyperlink" Target="https://www.digikey.com/en/products/detail/molex/0430310001/467798?s=N4IgTCBcDaIOoFkCMAOALEgwgFQLQDkAREAXQF8g" TargetMode="External"/><Relationship Id="rId19" Type="http://schemas.openxmlformats.org/officeDocument/2006/relationships/hyperlink" Target="https://www.mouser.com/ProductDetail/Vishay-Dale/CSC09A0110K0GEK?qs=Jzz%252BfO4IBMfusae2i1IhQQ%3D%3D" TargetMode="External"/><Relationship Id="rId31" Type="http://schemas.openxmlformats.org/officeDocument/2006/relationships/hyperlink" Target="https://www.amazon.com/Aluminum-Extrusion-European-Standard-15-75inch/dp/B08Y8M383Q/ref=sr_1_3?crid=10883RZZXSWPW&amp;dib=eyJ2IjoiMSJ9.R0pNkpJiePxW5PZW6Cx9TqbYKh6DJ7vX0c8IJTY_hgAuZ7Xfcx_Abdzvy06gyu8OpJ7BLuKiGunkvq_Oxtd1malU4J154OrVggfBDgNCf6t_5HDnq2iTngpOknsXVsFkeTOCgSw5A7Cg8Qva84ekDkkxmpCs-0v5UOG4x1aKWGHJkX-9uGm8cmRmWmAwfHXzHKxxhvs7sDy_aWrXp0LSUcixYsNwJTyZLsLrzwT9Q40.fAWqPADHFPPY9TG5JHmtgD84EOwH5wXmVgbRexFomdk&amp;dib_tag=se&amp;keywords=2020%2Bextrusion&amp;qid=1765860638&amp;sprefix=2020%2Bextr%2Caps%2C145&amp;sr=8-3&amp;th=1" TargetMode="External"/><Relationship Id="rId44" Type="http://schemas.openxmlformats.org/officeDocument/2006/relationships/hyperlink" Target="https://www.amazon.com/Yaocom-European-Standard-Aluminum-Extrusion/dp/B0DX7B5ZNN/ref=sr_1_3?dib=eyJ2IjoiMSJ9.dnPBW5BnGWFI7alZa4I2U-eVIo5GXTpxHJ9tQMCOqZxXMZPrh3lK9sBZdB6eNKI7a_ZoQK8DljT8j86EjeJB-TgIjBv-7rR1aWPd3Za75LvZ6xV36SRWb3nkD_9LcJV4SBCgqPJvykjxeW4zMrXNekWu9XvrzbX6PY3tsirpeNhu1zFpZ2WD0UqR3vN_whM5FQffhRQ2tPdUu8WPP_oVwzEKxtiEkEmALW8h0yRnwVY.X_WCrDJoZ7GpA7NadGh_qshU4Mp-sX0PWu2dVc1ia4c&amp;dib_tag=se&amp;keywords=m5%2B2020%2Bnut&amp;qid=1766005804&amp;sr=8-3&amp;th=1" TargetMode="External"/><Relationship Id="rId4" Type="http://schemas.openxmlformats.org/officeDocument/2006/relationships/hyperlink" Target="https://www.mouser.com/ProductDetail/710-615004141121" TargetMode="External"/><Relationship Id="rId9" Type="http://schemas.openxmlformats.org/officeDocument/2006/relationships/hyperlink" Target="https://www.digikey.com/en/products/detail/molex/0430300001/467796" TargetMode="External"/><Relationship Id="rId14" Type="http://schemas.openxmlformats.org/officeDocument/2006/relationships/hyperlink" Target="https://www.digikey.com/en/products/detail/samtec-inc/TS-130-T-A-1/9774113" TargetMode="External"/><Relationship Id="rId22" Type="http://schemas.openxmlformats.org/officeDocument/2006/relationships/hyperlink" Target="https://www.mouser.com/ProductDetail/Panasonic/ERA-6AED102V?qs=sGAEpiMZZMvdGkrng054t5mej2KPdPuFdGR0mNxKO%252B4%3D" TargetMode="External"/><Relationship Id="rId27" Type="http://schemas.openxmlformats.org/officeDocument/2006/relationships/hyperlink" Target="https://www.digikey.com/en/products/detail/cts-frequency-controls/MXO45HST-3C-1M000000/1801908" TargetMode="External"/><Relationship Id="rId30" Type="http://schemas.openxmlformats.org/officeDocument/2006/relationships/hyperlink" Target="https://www.mouser.com/ProductDetail/Belden-Wire-Cable/83049-006100?qs=OVCqYLLnee0zC1gM5G5Wqw%3D%3D" TargetMode="External"/><Relationship Id="rId35" Type="http://schemas.openxmlformats.org/officeDocument/2006/relationships/hyperlink" Target="https://www.mcmaster.com/91290A019/" TargetMode="External"/><Relationship Id="rId43" Type="http://schemas.openxmlformats.org/officeDocument/2006/relationships/hyperlink" Target="https://www.amazon.com/AARTERZZA-JF-1039B-Push-Pull-Solenoid-Electromagnet/dp/B0DJVL6MHG?th=1" TargetMode="External"/><Relationship Id="rId8" Type="http://schemas.openxmlformats.org/officeDocument/2006/relationships/hyperlink" Target="https://www.digikey.com/en/products/detail/molex/0430200201/1132437" TargetMode="External"/><Relationship Id="rId3" Type="http://schemas.openxmlformats.org/officeDocument/2006/relationships/hyperlink" Target="https://www.mouser.com/ProductDetail/VCC/CMDA5AR7D1S?qs=sGAEpiMZZMvVL5Kk7ZYykXsk1Jcl2Lhjdx6FZebcgbk%3D" TargetMode="External"/><Relationship Id="rId12" Type="http://schemas.openxmlformats.org/officeDocument/2006/relationships/hyperlink" Target="https://www.digikey.com/en/products/detail/molex/0430250800/252499" TargetMode="External"/><Relationship Id="rId17" Type="http://schemas.openxmlformats.org/officeDocument/2006/relationships/hyperlink" Target="https://www.mouser.com/ProductDetail/Bourns/4309R-101-331LF?qs=RXY66VkWzhTIgmSSRT6%2FDg%3D%3D" TargetMode="External"/><Relationship Id="rId25" Type="http://schemas.openxmlformats.org/officeDocument/2006/relationships/hyperlink" Target="https://www.mouser.com/ProductDetail/TE-Connectivity-Alcoswitch/FSM2JSMAATR?qs=g%252BEszo6zu8MKdISiZRITCQ%3D%3D" TargetMode="External"/><Relationship Id="rId33" Type="http://schemas.openxmlformats.org/officeDocument/2006/relationships/hyperlink" Target="https://www.mcmaster.com/91290A139/" TargetMode="External"/><Relationship Id="rId38" Type="http://schemas.openxmlformats.org/officeDocument/2006/relationships/hyperlink" Target="https://www.mcmaster.com/94180A331/" TargetMode="External"/><Relationship Id="rId20" Type="http://schemas.openxmlformats.org/officeDocument/2006/relationships/hyperlink" Target="https://www.mouser.com/ProductDetail/Vishay-Beyschlag/MCU0805MD1002BP500?qs=sGAEpiMZZMvdGkrng054t9RdslPTmYphyPdk%252BwtivVtccRtVV2hssQ%3D%3D" TargetMode="External"/><Relationship Id="rId41" Type="http://schemas.openxmlformats.org/officeDocument/2006/relationships/hyperlink" Target="https://www.digikey.com/en/products/detail/encore-wire/E2204S-41-86/61855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0BB69-DCCC-49A5-877C-14A0FAA8752F}">
  <dimension ref="A1:T56"/>
  <sheetViews>
    <sheetView zoomScale="120" zoomScaleNormal="120" workbookViewId="0">
      <pane ySplit="1" topLeftCell="A38" activePane="bottomLeft" state="frozen"/>
      <selection pane="bottomLeft" activeCell="A34" sqref="A34:I55"/>
    </sheetView>
  </sheetViews>
  <sheetFormatPr defaultRowHeight="15" x14ac:dyDescent="0.25"/>
  <cols>
    <col min="1" max="2" width="9.140625" style="1"/>
    <col min="3" max="3" width="20.7109375" style="1" customWidth="1"/>
    <col min="4" max="5" width="9.140625" style="1"/>
    <col min="6" max="6" width="15.7109375" style="1" customWidth="1"/>
    <col min="7" max="7" width="9.140625" style="4"/>
    <col min="8" max="8" width="9.140625" style="4" customWidth="1"/>
    <col min="9" max="9" width="10.7109375" style="4" customWidth="1"/>
    <col min="10" max="14" width="9.140625" style="1"/>
    <col min="15" max="15" width="9.140625" style="7"/>
    <col min="16" max="19" width="9.140625" style="1"/>
    <col min="20" max="20" width="12" style="1" bestFit="1" customWidth="1"/>
    <col min="21" max="16384" width="9.140625" style="1"/>
  </cols>
  <sheetData>
    <row r="1" spans="1:16" x14ac:dyDescent="0.25">
      <c r="A1" s="2" t="s">
        <v>0</v>
      </c>
      <c r="B1" s="14" t="s">
        <v>1</v>
      </c>
      <c r="C1" s="14"/>
      <c r="D1" s="14"/>
      <c r="E1" s="2" t="s">
        <v>2</v>
      </c>
      <c r="F1" s="2" t="s">
        <v>10</v>
      </c>
      <c r="G1" s="3" t="s">
        <v>3</v>
      </c>
      <c r="H1" s="3" t="s">
        <v>4</v>
      </c>
      <c r="I1" s="3" t="s">
        <v>9</v>
      </c>
      <c r="J1" s="15" t="s">
        <v>5</v>
      </c>
      <c r="K1" s="16"/>
      <c r="L1" s="17"/>
      <c r="M1" s="15" t="s">
        <v>6</v>
      </c>
      <c r="N1" s="17"/>
      <c r="O1" s="2" t="s">
        <v>7</v>
      </c>
      <c r="P1" s="1" t="s">
        <v>17</v>
      </c>
    </row>
    <row r="2" spans="1:16" x14ac:dyDescent="0.25">
      <c r="A2" s="11"/>
      <c r="B2" s="14" t="s">
        <v>13</v>
      </c>
      <c r="C2" s="14"/>
      <c r="D2" s="14"/>
      <c r="E2" s="2">
        <v>27</v>
      </c>
      <c r="F2" s="2" t="s">
        <v>12</v>
      </c>
      <c r="G2" s="3">
        <v>0.2</v>
      </c>
      <c r="H2" s="3">
        <f t="shared" ref="H2:H9" si="0">G2*E2</f>
        <v>5.4</v>
      </c>
      <c r="I2" s="3">
        <f t="shared" ref="I2:I9" si="1">H2*100</f>
        <v>540</v>
      </c>
      <c r="J2" s="15" t="s">
        <v>14</v>
      </c>
      <c r="K2" s="16"/>
      <c r="L2" s="17"/>
      <c r="M2" s="15" t="s">
        <v>15</v>
      </c>
      <c r="N2" s="17"/>
      <c r="O2" s="5" t="s">
        <v>16</v>
      </c>
      <c r="P2" s="1" t="s">
        <v>17</v>
      </c>
    </row>
    <row r="3" spans="1:16" x14ac:dyDescent="0.25">
      <c r="A3" s="12"/>
      <c r="B3" s="14" t="s">
        <v>11</v>
      </c>
      <c r="C3" s="14"/>
      <c r="D3" s="14"/>
      <c r="E3" s="2">
        <v>37</v>
      </c>
      <c r="F3" s="2" t="s">
        <v>12</v>
      </c>
      <c r="G3" s="3">
        <v>0.91</v>
      </c>
      <c r="H3" s="3">
        <f t="shared" si="0"/>
        <v>33.67</v>
      </c>
      <c r="I3" s="3">
        <f t="shared" si="1"/>
        <v>3367</v>
      </c>
      <c r="J3" s="15" t="s">
        <v>22</v>
      </c>
      <c r="K3" s="16"/>
      <c r="L3" s="17"/>
      <c r="M3" s="15" t="s">
        <v>20</v>
      </c>
      <c r="N3" s="17"/>
      <c r="O3" s="5" t="s">
        <v>23</v>
      </c>
      <c r="P3" s="1" t="s">
        <v>17</v>
      </c>
    </row>
    <row r="4" spans="1:16" x14ac:dyDescent="0.25">
      <c r="A4" s="12"/>
      <c r="B4" s="14" t="s">
        <v>18</v>
      </c>
      <c r="C4" s="14"/>
      <c r="D4" s="14"/>
      <c r="E4" s="2">
        <v>4</v>
      </c>
      <c r="F4" s="2" t="s">
        <v>12</v>
      </c>
      <c r="G4" s="3">
        <v>2.83</v>
      </c>
      <c r="H4" s="3">
        <f t="shared" si="0"/>
        <v>11.32</v>
      </c>
      <c r="I4" s="3">
        <f t="shared" si="1"/>
        <v>1132</v>
      </c>
      <c r="J4" s="15" t="s">
        <v>19</v>
      </c>
      <c r="K4" s="16"/>
      <c r="L4" s="17"/>
      <c r="M4" s="15" t="s">
        <v>20</v>
      </c>
      <c r="N4" s="17"/>
      <c r="O4" s="5" t="s">
        <v>21</v>
      </c>
      <c r="P4" s="1" t="s">
        <v>17</v>
      </c>
    </row>
    <row r="5" spans="1:16" x14ac:dyDescent="0.25">
      <c r="A5" s="12"/>
      <c r="B5" s="14" t="s">
        <v>24</v>
      </c>
      <c r="C5" s="14"/>
      <c r="D5" s="14"/>
      <c r="E5" s="2">
        <v>8</v>
      </c>
      <c r="F5" s="2" t="s">
        <v>12</v>
      </c>
      <c r="G5" s="3">
        <v>1.02</v>
      </c>
      <c r="H5" s="3">
        <f t="shared" si="0"/>
        <v>8.16</v>
      </c>
      <c r="I5" s="3">
        <f t="shared" si="1"/>
        <v>816</v>
      </c>
      <c r="J5" s="15" t="s">
        <v>25</v>
      </c>
      <c r="K5" s="16"/>
      <c r="L5" s="17"/>
      <c r="M5" s="15" t="s">
        <v>20</v>
      </c>
      <c r="N5" s="17"/>
      <c r="O5" s="5" t="s">
        <v>26</v>
      </c>
      <c r="P5" s="1" t="s">
        <v>17</v>
      </c>
    </row>
    <row r="6" spans="1:16" x14ac:dyDescent="0.25">
      <c r="A6" s="12"/>
      <c r="B6" s="14" t="s">
        <v>27</v>
      </c>
      <c r="C6" s="14"/>
      <c r="D6" s="14"/>
      <c r="E6" s="2">
        <v>4</v>
      </c>
      <c r="F6" s="2" t="s">
        <v>12</v>
      </c>
      <c r="G6" s="3">
        <v>4.9800000000000004</v>
      </c>
      <c r="H6" s="3">
        <f t="shared" si="0"/>
        <v>19.920000000000002</v>
      </c>
      <c r="I6" s="3">
        <f t="shared" si="1"/>
        <v>1992.0000000000002</v>
      </c>
      <c r="J6" s="15" t="s">
        <v>28</v>
      </c>
      <c r="K6" s="16"/>
      <c r="L6" s="17"/>
      <c r="M6" s="15" t="s">
        <v>20</v>
      </c>
      <c r="N6" s="17"/>
      <c r="O6" s="5" t="s">
        <v>29</v>
      </c>
      <c r="P6" s="1" t="s">
        <v>30</v>
      </c>
    </row>
    <row r="7" spans="1:16" x14ac:dyDescent="0.25">
      <c r="A7" s="12"/>
      <c r="B7" s="14" t="s">
        <v>34</v>
      </c>
      <c r="C7" s="14"/>
      <c r="D7" s="14"/>
      <c r="E7" s="2">
        <v>53</v>
      </c>
      <c r="F7" s="2" t="s">
        <v>12</v>
      </c>
      <c r="G7" s="3">
        <v>1.67</v>
      </c>
      <c r="H7" s="3">
        <f t="shared" si="0"/>
        <v>88.509999999999991</v>
      </c>
      <c r="I7" s="3">
        <f t="shared" si="1"/>
        <v>8851</v>
      </c>
      <c r="J7" s="15" t="s">
        <v>37</v>
      </c>
      <c r="K7" s="16"/>
      <c r="L7" s="17"/>
      <c r="M7" s="15" t="s">
        <v>15</v>
      </c>
      <c r="N7" s="17"/>
      <c r="O7" s="5" t="s">
        <v>36</v>
      </c>
      <c r="P7" s="1" t="s">
        <v>17</v>
      </c>
    </row>
    <row r="8" spans="1:16" x14ac:dyDescent="0.25">
      <c r="A8" s="12"/>
      <c r="B8" s="14" t="s">
        <v>31</v>
      </c>
      <c r="C8" s="14"/>
      <c r="D8" s="14"/>
      <c r="E8" s="2">
        <v>12</v>
      </c>
      <c r="F8" s="2" t="s">
        <v>12</v>
      </c>
      <c r="G8" s="3">
        <v>0.33</v>
      </c>
      <c r="H8" s="3">
        <f t="shared" si="0"/>
        <v>3.96</v>
      </c>
      <c r="I8" s="3">
        <f t="shared" si="1"/>
        <v>396</v>
      </c>
      <c r="J8" s="15" t="s">
        <v>41</v>
      </c>
      <c r="K8" s="16"/>
      <c r="L8" s="17"/>
      <c r="M8" s="15" t="s">
        <v>15</v>
      </c>
      <c r="N8" s="17"/>
      <c r="O8" s="5" t="s">
        <v>40</v>
      </c>
      <c r="P8" s="1" t="s">
        <v>17</v>
      </c>
    </row>
    <row r="9" spans="1:16" x14ac:dyDescent="0.25">
      <c r="A9" s="12"/>
      <c r="B9" s="14" t="s">
        <v>32</v>
      </c>
      <c r="C9" s="14"/>
      <c r="D9" s="14"/>
      <c r="E9" s="2">
        <v>46</v>
      </c>
      <c r="F9" s="2" t="s">
        <v>12</v>
      </c>
      <c r="G9" s="3">
        <v>0.34</v>
      </c>
      <c r="H9" s="3">
        <f t="shared" si="0"/>
        <v>15.64</v>
      </c>
      <c r="I9" s="3">
        <f t="shared" si="1"/>
        <v>1564</v>
      </c>
      <c r="J9" s="15" t="s">
        <v>38</v>
      </c>
      <c r="K9" s="16"/>
      <c r="L9" s="17"/>
      <c r="M9" s="15" t="s">
        <v>15</v>
      </c>
      <c r="N9" s="17"/>
      <c r="O9" s="5" t="s">
        <v>39</v>
      </c>
      <c r="P9" s="1" t="s">
        <v>17</v>
      </c>
    </row>
    <row r="10" spans="1:16" x14ac:dyDescent="0.25">
      <c r="A10" s="12"/>
      <c r="B10" s="14" t="s">
        <v>35</v>
      </c>
      <c r="C10" s="14"/>
      <c r="D10" s="14"/>
      <c r="E10" s="2">
        <v>14</v>
      </c>
      <c r="F10" s="2" t="s">
        <v>12</v>
      </c>
      <c r="G10" s="3">
        <v>3.69</v>
      </c>
      <c r="H10" s="3">
        <f t="shared" ref="H10:H14" si="2">G10*E10</f>
        <v>51.66</v>
      </c>
      <c r="I10" s="3">
        <f t="shared" ref="I10:I30" si="3">H10*100</f>
        <v>5166</v>
      </c>
      <c r="J10" s="15" t="s">
        <v>48</v>
      </c>
      <c r="K10" s="16"/>
      <c r="L10" s="17"/>
      <c r="M10" s="15" t="s">
        <v>15</v>
      </c>
      <c r="N10" s="17"/>
      <c r="O10" s="5" t="s">
        <v>49</v>
      </c>
      <c r="P10" s="1" t="s">
        <v>17</v>
      </c>
    </row>
    <row r="11" spans="1:16" x14ac:dyDescent="0.25">
      <c r="A11" s="12"/>
      <c r="B11" s="14" t="s">
        <v>33</v>
      </c>
      <c r="C11" s="14"/>
      <c r="D11" s="14"/>
      <c r="E11" s="2">
        <v>12</v>
      </c>
      <c r="F11" s="2" t="s">
        <v>12</v>
      </c>
      <c r="G11" s="3">
        <v>0.54</v>
      </c>
      <c r="H11" s="3">
        <f t="shared" si="2"/>
        <v>6.48</v>
      </c>
      <c r="I11" s="3">
        <f t="shared" si="3"/>
        <v>648</v>
      </c>
      <c r="J11" s="15" t="s">
        <v>50</v>
      </c>
      <c r="K11" s="16"/>
      <c r="L11" s="17"/>
      <c r="M11" s="15" t="s">
        <v>15</v>
      </c>
      <c r="N11" s="17"/>
      <c r="O11" s="5" t="s">
        <v>51</v>
      </c>
      <c r="P11" s="1" t="s">
        <v>17</v>
      </c>
    </row>
    <row r="12" spans="1:16" x14ac:dyDescent="0.25">
      <c r="A12" s="12"/>
      <c r="B12" s="14" t="s">
        <v>42</v>
      </c>
      <c r="C12" s="14"/>
      <c r="D12" s="14"/>
      <c r="E12" s="2">
        <v>188</v>
      </c>
      <c r="F12" s="2" t="s">
        <v>12</v>
      </c>
      <c r="G12" s="3">
        <v>0.1</v>
      </c>
      <c r="H12" s="3">
        <f t="shared" si="2"/>
        <v>18.8</v>
      </c>
      <c r="I12" s="3">
        <f t="shared" si="3"/>
        <v>1880</v>
      </c>
      <c r="J12" s="15" t="s">
        <v>46</v>
      </c>
      <c r="K12" s="16"/>
      <c r="L12" s="17"/>
      <c r="M12" s="15" t="s">
        <v>15</v>
      </c>
      <c r="N12" s="17"/>
      <c r="O12" s="5" t="s">
        <v>45</v>
      </c>
      <c r="P12" s="1" t="s">
        <v>17</v>
      </c>
    </row>
    <row r="13" spans="1:16" x14ac:dyDescent="0.25">
      <c r="A13" s="12"/>
      <c r="B13" s="14" t="s">
        <v>43</v>
      </c>
      <c r="C13" s="14"/>
      <c r="D13" s="14"/>
      <c r="E13" s="2">
        <v>24</v>
      </c>
      <c r="F13" s="2" t="s">
        <v>12</v>
      </c>
      <c r="G13" s="3">
        <v>0.1</v>
      </c>
      <c r="H13" s="3">
        <f t="shared" si="2"/>
        <v>2.4000000000000004</v>
      </c>
      <c r="I13" s="3">
        <f t="shared" si="3"/>
        <v>240.00000000000003</v>
      </c>
      <c r="J13" s="15" t="s">
        <v>44</v>
      </c>
      <c r="K13" s="16"/>
      <c r="L13" s="17"/>
      <c r="M13" s="15" t="s">
        <v>15</v>
      </c>
      <c r="N13" s="17"/>
      <c r="O13" s="5" t="s">
        <v>47</v>
      </c>
      <c r="P13" s="1" t="s">
        <v>17</v>
      </c>
    </row>
    <row r="14" spans="1:16" x14ac:dyDescent="0.25">
      <c r="A14" s="12"/>
      <c r="B14" s="14" t="s">
        <v>52</v>
      </c>
      <c r="C14" s="14"/>
      <c r="D14" s="14"/>
      <c r="E14" s="2">
        <v>3</v>
      </c>
      <c r="F14" s="2" t="s">
        <v>12</v>
      </c>
      <c r="G14" s="3">
        <v>0.28999999999999998</v>
      </c>
      <c r="H14" s="3">
        <f t="shared" si="2"/>
        <v>0.86999999999999988</v>
      </c>
      <c r="I14" s="3">
        <f t="shared" si="3"/>
        <v>86.999999999999986</v>
      </c>
      <c r="J14" s="15" t="s">
        <v>53</v>
      </c>
      <c r="K14" s="16"/>
      <c r="L14" s="17"/>
      <c r="M14" s="15" t="s">
        <v>15</v>
      </c>
      <c r="N14" s="17"/>
      <c r="O14" s="5" t="s">
        <v>54</v>
      </c>
      <c r="P14" s="1" t="s">
        <v>17</v>
      </c>
    </row>
    <row r="15" spans="1:16" x14ac:dyDescent="0.25">
      <c r="A15" s="12"/>
      <c r="B15" s="14" t="s">
        <v>55</v>
      </c>
      <c r="C15" s="14"/>
      <c r="D15" s="14"/>
      <c r="E15" s="2">
        <v>28</v>
      </c>
      <c r="F15" s="2" t="s">
        <v>56</v>
      </c>
      <c r="G15" s="3">
        <v>4.51</v>
      </c>
      <c r="H15" s="3">
        <f>G15</f>
        <v>4.51</v>
      </c>
      <c r="I15" s="3">
        <f t="shared" si="3"/>
        <v>451</v>
      </c>
      <c r="J15" s="15" t="s">
        <v>57</v>
      </c>
      <c r="K15" s="16"/>
      <c r="L15" s="17"/>
      <c r="M15" s="15" t="s">
        <v>15</v>
      </c>
      <c r="N15" s="17"/>
      <c r="O15" s="5" t="s">
        <v>58</v>
      </c>
      <c r="P15" s="1" t="s">
        <v>17</v>
      </c>
    </row>
    <row r="16" spans="1:16" x14ac:dyDescent="0.25">
      <c r="A16" s="12" t="s">
        <v>118</v>
      </c>
      <c r="B16" s="14" t="s">
        <v>59</v>
      </c>
      <c r="C16" s="14"/>
      <c r="D16" s="14"/>
      <c r="E16" s="2">
        <v>8</v>
      </c>
      <c r="F16" s="2" t="s">
        <v>12</v>
      </c>
      <c r="G16" s="3">
        <v>5.87</v>
      </c>
      <c r="H16" s="3">
        <f>G16*E16</f>
        <v>46.96</v>
      </c>
      <c r="I16" s="3">
        <f t="shared" si="3"/>
        <v>4696</v>
      </c>
      <c r="J16" s="15" t="s">
        <v>61</v>
      </c>
      <c r="K16" s="16"/>
      <c r="L16" s="17"/>
      <c r="M16" s="15" t="s">
        <v>20</v>
      </c>
      <c r="N16" s="17"/>
      <c r="O16" s="5" t="s">
        <v>60</v>
      </c>
      <c r="P16" s="1" t="s">
        <v>17</v>
      </c>
    </row>
    <row r="17" spans="1:20" x14ac:dyDescent="0.25">
      <c r="A17" s="12"/>
      <c r="B17" s="14" t="s">
        <v>62</v>
      </c>
      <c r="C17" s="14"/>
      <c r="D17" s="14"/>
      <c r="E17" s="2">
        <v>5</v>
      </c>
      <c r="F17" s="2" t="s">
        <v>12</v>
      </c>
      <c r="G17" s="3">
        <v>0.33</v>
      </c>
      <c r="H17" s="3">
        <f>G17*E17</f>
        <v>1.6500000000000001</v>
      </c>
      <c r="I17" s="3">
        <f t="shared" si="3"/>
        <v>165</v>
      </c>
      <c r="J17" s="15" t="s">
        <v>63</v>
      </c>
      <c r="K17" s="16"/>
      <c r="L17" s="17"/>
      <c r="M17" s="15" t="s">
        <v>20</v>
      </c>
      <c r="N17" s="17"/>
      <c r="O17" s="5" t="s">
        <v>64</v>
      </c>
      <c r="P17" s="1" t="s">
        <v>17</v>
      </c>
    </row>
    <row r="18" spans="1:20" x14ac:dyDescent="0.25">
      <c r="A18" s="12"/>
      <c r="B18" s="14" t="s">
        <v>65</v>
      </c>
      <c r="C18" s="14"/>
      <c r="D18" s="14"/>
      <c r="E18" s="2">
        <v>4</v>
      </c>
      <c r="F18" s="2" t="s">
        <v>12</v>
      </c>
      <c r="G18" s="3">
        <v>4.28</v>
      </c>
      <c r="H18" s="3">
        <f>G18*E18</f>
        <v>17.12</v>
      </c>
      <c r="I18" s="3">
        <f t="shared" si="3"/>
        <v>1712</v>
      </c>
      <c r="J18" s="15" t="s">
        <v>67</v>
      </c>
      <c r="K18" s="16"/>
      <c r="L18" s="17"/>
      <c r="M18" s="15" t="s">
        <v>20</v>
      </c>
      <c r="N18" s="17"/>
      <c r="O18" s="5" t="s">
        <v>66</v>
      </c>
      <c r="P18" s="1" t="s">
        <v>17</v>
      </c>
    </row>
    <row r="19" spans="1:20" x14ac:dyDescent="0.25">
      <c r="A19" s="12"/>
      <c r="B19" s="14" t="s">
        <v>68</v>
      </c>
      <c r="C19" s="14"/>
      <c r="D19" s="14"/>
      <c r="E19" s="2">
        <v>48</v>
      </c>
      <c r="F19" s="2" t="s">
        <v>12</v>
      </c>
      <c r="G19" s="3">
        <v>0.25</v>
      </c>
      <c r="H19" s="3">
        <f>G19*E19</f>
        <v>12</v>
      </c>
      <c r="I19" s="3">
        <f t="shared" si="3"/>
        <v>1200</v>
      </c>
      <c r="J19" s="15" t="s">
        <v>82</v>
      </c>
      <c r="K19" s="16"/>
      <c r="L19" s="17"/>
      <c r="M19" s="15" t="s">
        <v>20</v>
      </c>
      <c r="N19" s="17"/>
      <c r="O19" s="5" t="s">
        <v>81</v>
      </c>
      <c r="P19" s="1" t="s">
        <v>17</v>
      </c>
    </row>
    <row r="20" spans="1:20" x14ac:dyDescent="0.25">
      <c r="A20" s="12"/>
      <c r="B20" s="14" t="s">
        <v>69</v>
      </c>
      <c r="C20" s="14"/>
      <c r="D20" s="14"/>
      <c r="E20" s="2">
        <v>1</v>
      </c>
      <c r="F20" s="2" t="s">
        <v>12</v>
      </c>
      <c r="G20" s="3">
        <v>2.4300000000000002</v>
      </c>
      <c r="H20" s="3">
        <f t="shared" ref="H20:H36" si="4">G20*E20</f>
        <v>2.4300000000000002</v>
      </c>
      <c r="I20" s="3">
        <f t="shared" si="3"/>
        <v>243.00000000000003</v>
      </c>
      <c r="J20" s="15" t="s">
        <v>73</v>
      </c>
      <c r="K20" s="16"/>
      <c r="L20" s="17"/>
      <c r="M20" s="15" t="s">
        <v>20</v>
      </c>
      <c r="N20" s="17"/>
      <c r="O20" s="5" t="s">
        <v>74</v>
      </c>
      <c r="P20" s="1" t="s">
        <v>17</v>
      </c>
    </row>
    <row r="21" spans="1:20" x14ac:dyDescent="0.25">
      <c r="A21" s="12"/>
      <c r="B21" s="14" t="s">
        <v>70</v>
      </c>
      <c r="C21" s="14"/>
      <c r="D21" s="14"/>
      <c r="E21" s="2">
        <v>6</v>
      </c>
      <c r="F21" s="2" t="s">
        <v>12</v>
      </c>
      <c r="G21" s="3">
        <v>0.1</v>
      </c>
      <c r="H21" s="3">
        <f t="shared" si="4"/>
        <v>0.60000000000000009</v>
      </c>
      <c r="I21" s="3">
        <f t="shared" si="3"/>
        <v>60.000000000000007</v>
      </c>
      <c r="J21" s="15" t="s">
        <v>79</v>
      </c>
      <c r="K21" s="16"/>
      <c r="L21" s="17"/>
      <c r="M21" s="15" t="s">
        <v>20</v>
      </c>
      <c r="N21" s="17"/>
      <c r="O21" s="5" t="s">
        <v>80</v>
      </c>
      <c r="P21" s="1" t="s">
        <v>17</v>
      </c>
    </row>
    <row r="22" spans="1:20" x14ac:dyDescent="0.25">
      <c r="A22" s="12"/>
      <c r="B22" s="14" t="s">
        <v>71</v>
      </c>
      <c r="C22" s="14"/>
      <c r="D22" s="14"/>
      <c r="E22" s="2">
        <v>4</v>
      </c>
      <c r="F22" s="2" t="s">
        <v>12</v>
      </c>
      <c r="G22" s="3">
        <v>0.49</v>
      </c>
      <c r="H22" s="3">
        <f t="shared" si="4"/>
        <v>1.96</v>
      </c>
      <c r="I22" s="3">
        <f t="shared" si="3"/>
        <v>196</v>
      </c>
      <c r="J22" s="15" t="s">
        <v>77</v>
      </c>
      <c r="K22" s="16"/>
      <c r="L22" s="17"/>
      <c r="M22" s="15" t="s">
        <v>20</v>
      </c>
      <c r="N22" s="17"/>
      <c r="O22" s="5" t="s">
        <v>78</v>
      </c>
      <c r="P22" s="1" t="s">
        <v>17</v>
      </c>
    </row>
    <row r="23" spans="1:20" x14ac:dyDescent="0.25">
      <c r="A23" s="12"/>
      <c r="B23" s="14" t="s">
        <v>72</v>
      </c>
      <c r="C23" s="14"/>
      <c r="D23" s="14"/>
      <c r="E23" s="2">
        <v>1</v>
      </c>
      <c r="F23" s="2" t="s">
        <v>12</v>
      </c>
      <c r="G23" s="3">
        <v>2.5299999999999998</v>
      </c>
      <c r="H23" s="3">
        <f t="shared" si="4"/>
        <v>2.5299999999999998</v>
      </c>
      <c r="I23" s="3">
        <f t="shared" si="3"/>
        <v>252.99999999999997</v>
      </c>
      <c r="J23" s="15" t="s">
        <v>75</v>
      </c>
      <c r="K23" s="16"/>
      <c r="L23" s="17"/>
      <c r="M23" s="15" t="s">
        <v>20</v>
      </c>
      <c r="N23" s="17"/>
      <c r="O23" s="5" t="s">
        <v>76</v>
      </c>
      <c r="P23" s="1" t="s">
        <v>17</v>
      </c>
      <c r="S23" s="14" t="s">
        <v>119</v>
      </c>
      <c r="T23" s="14"/>
    </row>
    <row r="24" spans="1:20" x14ac:dyDescent="0.25">
      <c r="A24" s="12"/>
      <c r="B24" s="14" t="s">
        <v>83</v>
      </c>
      <c r="C24" s="14"/>
      <c r="D24" s="14"/>
      <c r="E24" s="2">
        <v>24</v>
      </c>
      <c r="F24" s="2" t="s">
        <v>12</v>
      </c>
      <c r="G24" s="3">
        <v>1.75</v>
      </c>
      <c r="H24" s="3">
        <f t="shared" si="4"/>
        <v>42</v>
      </c>
      <c r="I24" s="3">
        <f t="shared" si="3"/>
        <v>4200</v>
      </c>
      <c r="J24" s="15" t="s">
        <v>84</v>
      </c>
      <c r="K24" s="16"/>
      <c r="L24" s="17"/>
      <c r="M24" s="15" t="s">
        <v>15</v>
      </c>
      <c r="N24" s="17"/>
      <c r="O24" s="5" t="s">
        <v>85</v>
      </c>
      <c r="P24" s="1" t="s">
        <v>17</v>
      </c>
      <c r="S24" s="9" t="s">
        <v>8</v>
      </c>
      <c r="T24" s="3">
        <f>SUM(H2:H35)</f>
        <v>583.96999999999991</v>
      </c>
    </row>
    <row r="25" spans="1:20" x14ac:dyDescent="0.25">
      <c r="A25" s="12"/>
      <c r="B25" s="14" t="s">
        <v>86</v>
      </c>
      <c r="C25" s="14"/>
      <c r="D25" s="14"/>
      <c r="E25" s="2">
        <v>2</v>
      </c>
      <c r="F25" s="2" t="s">
        <v>12</v>
      </c>
      <c r="G25" s="3">
        <v>2.35</v>
      </c>
      <c r="H25" s="3">
        <f t="shared" si="4"/>
        <v>4.7</v>
      </c>
      <c r="I25" s="3">
        <f t="shared" si="3"/>
        <v>470</v>
      </c>
      <c r="J25" s="15" t="s">
        <v>87</v>
      </c>
      <c r="K25" s="16"/>
      <c r="L25" s="17"/>
      <c r="M25" s="15" t="s">
        <v>15</v>
      </c>
      <c r="N25" s="17"/>
      <c r="O25" s="5" t="s">
        <v>88</v>
      </c>
      <c r="P25" s="1" t="s">
        <v>17</v>
      </c>
      <c r="S25" s="2" t="s">
        <v>120</v>
      </c>
      <c r="T25" s="3">
        <f>SUM(H36:H51)</f>
        <v>1440.5299999999997</v>
      </c>
    </row>
    <row r="26" spans="1:20" x14ac:dyDescent="0.25">
      <c r="A26" s="12"/>
      <c r="B26" s="14" t="s">
        <v>89</v>
      </c>
      <c r="C26" s="14"/>
      <c r="D26" s="14"/>
      <c r="E26" s="2">
        <v>3</v>
      </c>
      <c r="F26" s="2" t="s">
        <v>12</v>
      </c>
      <c r="G26" s="3">
        <v>0.31</v>
      </c>
      <c r="H26" s="3">
        <f t="shared" si="4"/>
        <v>0.92999999999999994</v>
      </c>
      <c r="I26" s="3">
        <f t="shared" si="3"/>
        <v>93</v>
      </c>
      <c r="J26" s="15" t="s">
        <v>91</v>
      </c>
      <c r="K26" s="16"/>
      <c r="L26" s="17"/>
      <c r="M26" s="15" t="s">
        <v>20</v>
      </c>
      <c r="N26" s="17"/>
      <c r="O26" s="5" t="s">
        <v>92</v>
      </c>
      <c r="P26" s="1" t="s">
        <v>17</v>
      </c>
      <c r="S26" s="2" t="s">
        <v>121</v>
      </c>
      <c r="T26" s="3">
        <f>SUM(H52:H55)</f>
        <v>21400</v>
      </c>
    </row>
    <row r="27" spans="1:20" x14ac:dyDescent="0.25">
      <c r="A27" s="12"/>
      <c r="B27" s="14" t="s">
        <v>90</v>
      </c>
      <c r="C27" s="14"/>
      <c r="D27" s="14"/>
      <c r="E27" s="2">
        <v>2</v>
      </c>
      <c r="F27" s="2" t="s">
        <v>12</v>
      </c>
      <c r="G27" s="3">
        <v>0.59</v>
      </c>
      <c r="H27" s="3">
        <f t="shared" si="4"/>
        <v>1.18</v>
      </c>
      <c r="I27" s="3">
        <f t="shared" si="3"/>
        <v>118</v>
      </c>
      <c r="J27" s="15" t="s">
        <v>93</v>
      </c>
      <c r="K27" s="16"/>
      <c r="L27" s="17"/>
      <c r="M27" s="15" t="s">
        <v>15</v>
      </c>
      <c r="N27" s="17"/>
      <c r="O27" s="5" t="s">
        <v>94</v>
      </c>
      <c r="P27" s="1" t="s">
        <v>17</v>
      </c>
      <c r="S27" s="2" t="s">
        <v>122</v>
      </c>
      <c r="T27" s="3">
        <f>SUM(T24:T26)</f>
        <v>23424.5</v>
      </c>
    </row>
    <row r="28" spans="1:20" x14ac:dyDescent="0.25">
      <c r="A28" s="12"/>
      <c r="B28" s="14" t="s">
        <v>95</v>
      </c>
      <c r="C28" s="14"/>
      <c r="D28" s="14"/>
      <c r="E28" s="2">
        <v>1</v>
      </c>
      <c r="F28" s="2" t="s">
        <v>12</v>
      </c>
      <c r="G28" s="3">
        <v>3.45</v>
      </c>
      <c r="H28" s="3">
        <f t="shared" si="4"/>
        <v>3.45</v>
      </c>
      <c r="I28" s="3">
        <f t="shared" si="3"/>
        <v>345</v>
      </c>
      <c r="J28" s="18" t="s">
        <v>96</v>
      </c>
      <c r="K28" s="19"/>
      <c r="L28" s="20"/>
      <c r="M28" s="15" t="s">
        <v>15</v>
      </c>
      <c r="N28" s="17"/>
      <c r="O28" s="5" t="s">
        <v>97</v>
      </c>
      <c r="P28" s="1" t="s">
        <v>17</v>
      </c>
    </row>
    <row r="29" spans="1:20" x14ac:dyDescent="0.25">
      <c r="A29" s="12"/>
      <c r="B29" s="14" t="s">
        <v>98</v>
      </c>
      <c r="C29" s="14"/>
      <c r="D29" s="14"/>
      <c r="E29" s="2">
        <v>6</v>
      </c>
      <c r="F29" s="2" t="s">
        <v>12</v>
      </c>
      <c r="G29" s="3">
        <v>1.1000000000000001</v>
      </c>
      <c r="H29" s="3">
        <f t="shared" si="4"/>
        <v>6.6000000000000005</v>
      </c>
      <c r="I29" s="3">
        <f t="shared" si="3"/>
        <v>660</v>
      </c>
      <c r="J29" s="15" t="s">
        <v>99</v>
      </c>
      <c r="K29" s="16"/>
      <c r="L29" s="17"/>
      <c r="M29" s="15" t="s">
        <v>15</v>
      </c>
      <c r="N29" s="17"/>
      <c r="O29" s="5" t="s">
        <v>100</v>
      </c>
      <c r="P29" s="1" t="s">
        <v>17</v>
      </c>
    </row>
    <row r="30" spans="1:20" x14ac:dyDescent="0.25">
      <c r="A30" s="12"/>
      <c r="B30" s="14" t="s">
        <v>101</v>
      </c>
      <c r="C30" s="14"/>
      <c r="D30" s="14"/>
      <c r="E30" s="2">
        <v>3</v>
      </c>
      <c r="F30" s="2" t="s">
        <v>12</v>
      </c>
      <c r="G30" s="3">
        <v>2.63</v>
      </c>
      <c r="H30" s="3">
        <f t="shared" si="4"/>
        <v>7.89</v>
      </c>
      <c r="I30" s="3">
        <f t="shared" si="3"/>
        <v>789</v>
      </c>
      <c r="J30" s="15" t="s">
        <v>102</v>
      </c>
      <c r="K30" s="16"/>
      <c r="L30" s="17"/>
      <c r="M30" s="15" t="s">
        <v>15</v>
      </c>
      <c r="N30" s="17"/>
      <c r="O30" s="5" t="s">
        <v>103</v>
      </c>
      <c r="P30" s="1" t="s">
        <v>17</v>
      </c>
    </row>
    <row r="31" spans="1:20" x14ac:dyDescent="0.25">
      <c r="A31" s="12"/>
      <c r="B31" s="14" t="s">
        <v>104</v>
      </c>
      <c r="C31" s="14"/>
      <c r="D31" s="14"/>
      <c r="E31" s="2">
        <v>110</v>
      </c>
      <c r="F31" s="2" t="s">
        <v>105</v>
      </c>
      <c r="G31" s="3">
        <v>1.17</v>
      </c>
      <c r="H31" s="3">
        <f t="shared" si="4"/>
        <v>128.69999999999999</v>
      </c>
      <c r="I31" s="8">
        <f t="shared" ref="I31:I37" si="5">H31*100</f>
        <v>12869.999999999998</v>
      </c>
      <c r="J31" s="15" t="s">
        <v>107</v>
      </c>
      <c r="K31" s="16"/>
      <c r="L31" s="17"/>
      <c r="M31" s="15" t="s">
        <v>20</v>
      </c>
      <c r="N31" s="17"/>
      <c r="O31" s="5" t="s">
        <v>106</v>
      </c>
      <c r="P31" s="1" t="s">
        <v>17</v>
      </c>
    </row>
    <row r="32" spans="1:20" x14ac:dyDescent="0.25">
      <c r="A32" s="12"/>
      <c r="B32" s="14" t="s">
        <v>108</v>
      </c>
      <c r="C32" s="14"/>
      <c r="D32" s="14"/>
      <c r="E32" s="2">
        <v>1</v>
      </c>
      <c r="F32" s="2" t="s">
        <v>12</v>
      </c>
      <c r="G32" s="3">
        <v>3.36</v>
      </c>
      <c r="H32" s="3">
        <f t="shared" si="4"/>
        <v>3.36</v>
      </c>
      <c r="I32" s="3">
        <f t="shared" si="5"/>
        <v>336</v>
      </c>
      <c r="J32" s="15" t="s">
        <v>113</v>
      </c>
      <c r="K32" s="16"/>
      <c r="L32" s="17"/>
      <c r="M32" s="15" t="s">
        <v>183</v>
      </c>
      <c r="N32" s="17"/>
      <c r="O32" s="2" t="s">
        <v>117</v>
      </c>
      <c r="P32" s="1" t="s">
        <v>17</v>
      </c>
    </row>
    <row r="33" spans="1:16" x14ac:dyDescent="0.25">
      <c r="A33" s="12"/>
      <c r="B33" s="14" t="s">
        <v>109</v>
      </c>
      <c r="C33" s="14"/>
      <c r="D33" s="14"/>
      <c r="E33" s="2">
        <v>2</v>
      </c>
      <c r="F33" s="2" t="s">
        <v>12</v>
      </c>
      <c r="G33" s="3">
        <v>2.99</v>
      </c>
      <c r="H33" s="3">
        <f t="shared" si="4"/>
        <v>5.98</v>
      </c>
      <c r="I33" s="3">
        <f t="shared" si="5"/>
        <v>598</v>
      </c>
      <c r="J33" s="15" t="s">
        <v>114</v>
      </c>
      <c r="K33" s="16"/>
      <c r="L33" s="17"/>
      <c r="M33" s="15" t="s">
        <v>112</v>
      </c>
      <c r="N33" s="17"/>
      <c r="O33" s="2" t="s">
        <v>117</v>
      </c>
      <c r="P33" s="1" t="s">
        <v>17</v>
      </c>
    </row>
    <row r="34" spans="1:16" x14ac:dyDescent="0.25">
      <c r="A34" s="12"/>
      <c r="B34" s="14" t="s">
        <v>110</v>
      </c>
      <c r="C34" s="14"/>
      <c r="D34" s="14"/>
      <c r="E34" s="2">
        <v>6</v>
      </c>
      <c r="F34" s="2" t="s">
        <v>12</v>
      </c>
      <c r="G34" s="3">
        <v>3.14</v>
      </c>
      <c r="H34" s="3">
        <f t="shared" si="4"/>
        <v>18.84</v>
      </c>
      <c r="I34" s="3">
        <f t="shared" si="5"/>
        <v>1884</v>
      </c>
      <c r="J34" s="15" t="s">
        <v>115</v>
      </c>
      <c r="K34" s="16"/>
      <c r="L34" s="17"/>
      <c r="M34" s="15" t="s">
        <v>112</v>
      </c>
      <c r="N34" s="17"/>
      <c r="O34" s="2" t="s">
        <v>117</v>
      </c>
      <c r="P34" s="1" t="s">
        <v>17</v>
      </c>
    </row>
    <row r="35" spans="1:16" x14ac:dyDescent="0.25">
      <c r="A35" s="13"/>
      <c r="B35" s="14" t="s">
        <v>111</v>
      </c>
      <c r="C35" s="14"/>
      <c r="D35" s="14"/>
      <c r="E35" s="2">
        <v>1</v>
      </c>
      <c r="F35" s="2" t="s">
        <v>12</v>
      </c>
      <c r="G35" s="3">
        <v>3.79</v>
      </c>
      <c r="H35" s="3">
        <f t="shared" si="4"/>
        <v>3.79</v>
      </c>
      <c r="I35" s="3">
        <f t="shared" si="5"/>
        <v>379</v>
      </c>
      <c r="J35" s="15" t="s">
        <v>116</v>
      </c>
      <c r="K35" s="16"/>
      <c r="L35" s="17"/>
      <c r="M35" s="15" t="s">
        <v>112</v>
      </c>
      <c r="N35" s="17"/>
      <c r="O35" s="2" t="s">
        <v>117</v>
      </c>
      <c r="P35" s="1" t="s">
        <v>17</v>
      </c>
    </row>
    <row r="36" spans="1:16" x14ac:dyDescent="0.25">
      <c r="A36" s="21" t="s">
        <v>120</v>
      </c>
      <c r="B36" s="14" t="s">
        <v>123</v>
      </c>
      <c r="C36" s="14"/>
      <c r="D36" s="14"/>
      <c r="E36" s="2">
        <v>14</v>
      </c>
      <c r="F36" s="2" t="s">
        <v>105</v>
      </c>
      <c r="G36" s="3">
        <v>4.5</v>
      </c>
      <c r="H36" s="3">
        <f t="shared" si="4"/>
        <v>63</v>
      </c>
      <c r="I36" s="3">
        <f t="shared" si="5"/>
        <v>6300</v>
      </c>
      <c r="J36" s="15" t="s">
        <v>126</v>
      </c>
      <c r="K36" s="16"/>
      <c r="L36" s="17"/>
      <c r="M36" s="15" t="s">
        <v>124</v>
      </c>
      <c r="N36" s="17"/>
      <c r="O36" s="5" t="s">
        <v>125</v>
      </c>
      <c r="P36" s="1" t="s">
        <v>17</v>
      </c>
    </row>
    <row r="37" spans="1:16" x14ac:dyDescent="0.25">
      <c r="A37" s="22"/>
      <c r="B37" s="14" t="s">
        <v>128</v>
      </c>
      <c r="C37" s="14"/>
      <c r="D37" s="14"/>
      <c r="E37" s="2">
        <v>72</v>
      </c>
      <c r="F37" s="2" t="s">
        <v>136</v>
      </c>
      <c r="G37" s="3">
        <v>9.9600000000000009</v>
      </c>
      <c r="H37" s="3">
        <f>G37*3</f>
        <v>29.880000000000003</v>
      </c>
      <c r="I37" s="3">
        <f t="shared" si="5"/>
        <v>2988.0000000000005</v>
      </c>
      <c r="J37" s="15" t="s">
        <v>140</v>
      </c>
      <c r="K37" s="16"/>
      <c r="L37" s="17"/>
      <c r="M37" s="15" t="s">
        <v>138</v>
      </c>
      <c r="N37" s="17"/>
      <c r="O37" s="5" t="s">
        <v>139</v>
      </c>
      <c r="P37" s="1" t="s">
        <v>17</v>
      </c>
    </row>
    <row r="38" spans="1:16" x14ac:dyDescent="0.25">
      <c r="A38" s="22"/>
      <c r="B38" s="14" t="s">
        <v>137</v>
      </c>
      <c r="C38" s="14"/>
      <c r="D38" s="14"/>
      <c r="E38" s="2">
        <v>72</v>
      </c>
      <c r="F38" s="2" t="s">
        <v>143</v>
      </c>
      <c r="G38" s="3">
        <v>9.99</v>
      </c>
      <c r="H38" s="3">
        <f t="shared" ref="H38:H43" si="6">G38</f>
        <v>9.99</v>
      </c>
      <c r="I38" s="3">
        <f t="shared" ref="I38:I47" si="7">H38*100</f>
        <v>999</v>
      </c>
      <c r="J38" s="15"/>
      <c r="K38" s="16"/>
      <c r="L38" s="17"/>
      <c r="M38" s="15" t="s">
        <v>124</v>
      </c>
      <c r="N38" s="17"/>
      <c r="O38" s="5" t="s">
        <v>181</v>
      </c>
      <c r="P38" s="1" t="s">
        <v>17</v>
      </c>
    </row>
    <row r="39" spans="1:16" x14ac:dyDescent="0.25">
      <c r="A39" s="22"/>
      <c r="B39" s="14" t="s">
        <v>127</v>
      </c>
      <c r="C39" s="14"/>
      <c r="D39" s="14"/>
      <c r="E39" s="2">
        <v>48</v>
      </c>
      <c r="F39" s="2" t="s">
        <v>143</v>
      </c>
      <c r="G39" s="3">
        <v>11.71</v>
      </c>
      <c r="H39" s="3">
        <f t="shared" si="6"/>
        <v>11.71</v>
      </c>
      <c r="I39" s="3">
        <f>H39*50</f>
        <v>585.5</v>
      </c>
      <c r="J39" s="15" t="s">
        <v>142</v>
      </c>
      <c r="K39" s="16"/>
      <c r="L39" s="17"/>
      <c r="M39" s="15" t="s">
        <v>138</v>
      </c>
      <c r="N39" s="17"/>
      <c r="O39" s="5" t="s">
        <v>141</v>
      </c>
      <c r="P39" s="1" t="s">
        <v>17</v>
      </c>
    </row>
    <row r="40" spans="1:16" x14ac:dyDescent="0.25">
      <c r="A40" s="22"/>
      <c r="B40" s="14" t="s">
        <v>129</v>
      </c>
      <c r="C40" s="14"/>
      <c r="D40" s="14"/>
      <c r="E40" s="2">
        <v>24</v>
      </c>
      <c r="F40" s="2" t="s">
        <v>143</v>
      </c>
      <c r="G40" s="3">
        <v>11.91</v>
      </c>
      <c r="H40" s="3">
        <f t="shared" si="6"/>
        <v>11.91</v>
      </c>
      <c r="I40" s="3">
        <f>H40*25</f>
        <v>297.75</v>
      </c>
      <c r="J40" s="15" t="s">
        <v>144</v>
      </c>
      <c r="K40" s="16"/>
      <c r="L40" s="17"/>
      <c r="M40" s="15" t="s">
        <v>138</v>
      </c>
      <c r="N40" s="17"/>
      <c r="O40" s="5" t="s">
        <v>145</v>
      </c>
      <c r="P40" s="1" t="s">
        <v>17</v>
      </c>
    </row>
    <row r="41" spans="1:16" x14ac:dyDescent="0.25">
      <c r="A41" s="22"/>
      <c r="B41" s="14" t="s">
        <v>130</v>
      </c>
      <c r="C41" s="14"/>
      <c r="D41" s="14"/>
      <c r="E41" s="2">
        <f>28+12</f>
        <v>40</v>
      </c>
      <c r="F41" s="2" t="s">
        <v>143</v>
      </c>
      <c r="G41" s="3">
        <v>20.440000000000001</v>
      </c>
      <c r="H41" s="3">
        <f t="shared" si="6"/>
        <v>20.440000000000001</v>
      </c>
      <c r="I41" s="3">
        <f>H41*50</f>
        <v>1022.0000000000001</v>
      </c>
      <c r="J41" s="15" t="s">
        <v>154</v>
      </c>
      <c r="K41" s="16"/>
      <c r="L41" s="17"/>
      <c r="M41" s="15" t="s">
        <v>138</v>
      </c>
      <c r="N41" s="17"/>
      <c r="O41" s="5" t="s">
        <v>155</v>
      </c>
      <c r="P41" s="1" t="s">
        <v>17</v>
      </c>
    </row>
    <row r="42" spans="1:16" x14ac:dyDescent="0.25">
      <c r="A42" s="22"/>
      <c r="B42" s="14" t="s">
        <v>158</v>
      </c>
      <c r="C42" s="14"/>
      <c r="D42" s="14"/>
      <c r="E42" s="2">
        <v>4</v>
      </c>
      <c r="F42" s="2" t="s">
        <v>136</v>
      </c>
      <c r="G42" s="3">
        <v>6.67</v>
      </c>
      <c r="H42" s="3">
        <f t="shared" si="6"/>
        <v>6.67</v>
      </c>
      <c r="I42" s="3">
        <f>H42*20</f>
        <v>133.4</v>
      </c>
      <c r="J42" s="15" t="s">
        <v>152</v>
      </c>
      <c r="K42" s="16"/>
      <c r="L42" s="17"/>
      <c r="M42" s="15" t="s">
        <v>138</v>
      </c>
      <c r="N42" s="17"/>
      <c r="O42" s="5" t="s">
        <v>153</v>
      </c>
      <c r="P42" s="1" t="s">
        <v>17</v>
      </c>
    </row>
    <row r="43" spans="1:16" x14ac:dyDescent="0.25">
      <c r="A43" s="22"/>
      <c r="B43" s="14" t="s">
        <v>157</v>
      </c>
      <c r="C43" s="14"/>
      <c r="D43" s="14"/>
      <c r="E43" s="2">
        <v>4</v>
      </c>
      <c r="F43" s="2" t="s">
        <v>143</v>
      </c>
      <c r="G43" s="3">
        <v>6.9</v>
      </c>
      <c r="H43" s="3">
        <f t="shared" si="6"/>
        <v>6.9</v>
      </c>
      <c r="I43" s="3">
        <f>H43*5</f>
        <v>34.5</v>
      </c>
      <c r="J43" s="15" t="s">
        <v>151</v>
      </c>
      <c r="K43" s="16"/>
      <c r="L43" s="17"/>
      <c r="M43" s="15" t="s">
        <v>138</v>
      </c>
      <c r="N43" s="17"/>
      <c r="O43" s="5" t="s">
        <v>150</v>
      </c>
      <c r="P43" s="1" t="s">
        <v>17</v>
      </c>
    </row>
    <row r="44" spans="1:16" x14ac:dyDescent="0.25">
      <c r="A44" s="22"/>
      <c r="B44" s="14" t="s">
        <v>131</v>
      </c>
      <c r="C44" s="14"/>
      <c r="D44" s="14"/>
      <c r="E44" s="2">
        <v>24</v>
      </c>
      <c r="F44" s="2" t="s">
        <v>12</v>
      </c>
      <c r="G44" s="3">
        <v>28.44</v>
      </c>
      <c r="H44" s="3">
        <f>G44*E44</f>
        <v>682.56000000000006</v>
      </c>
      <c r="I44" s="8">
        <f>H44*100</f>
        <v>68256</v>
      </c>
      <c r="J44" s="15" t="s">
        <v>182</v>
      </c>
      <c r="K44" s="16"/>
      <c r="L44" s="17"/>
      <c r="M44" s="15" t="s">
        <v>124</v>
      </c>
      <c r="N44" s="17"/>
      <c r="O44" s="5" t="s">
        <v>180</v>
      </c>
      <c r="P44" s="1" t="s">
        <v>17</v>
      </c>
    </row>
    <row r="45" spans="1:16" x14ac:dyDescent="0.25">
      <c r="A45" s="22"/>
      <c r="B45" s="14" t="s">
        <v>177</v>
      </c>
      <c r="C45" s="14"/>
      <c r="D45" s="14"/>
      <c r="E45" s="2">
        <v>12</v>
      </c>
      <c r="F45" s="2" t="s">
        <v>12</v>
      </c>
      <c r="G45" s="3">
        <v>5</v>
      </c>
      <c r="H45" s="3">
        <f>G45*E45</f>
        <v>60</v>
      </c>
      <c r="I45" s="3">
        <f t="shared" si="7"/>
        <v>6000</v>
      </c>
      <c r="J45" s="15" t="s">
        <v>179</v>
      </c>
      <c r="K45" s="16"/>
      <c r="L45" s="17"/>
      <c r="M45" s="15" t="s">
        <v>124</v>
      </c>
      <c r="N45" s="17"/>
      <c r="O45" s="5" t="s">
        <v>178</v>
      </c>
      <c r="P45" s="1" t="s">
        <v>17</v>
      </c>
    </row>
    <row r="46" spans="1:16" x14ac:dyDescent="0.25">
      <c r="A46" s="22"/>
      <c r="B46" s="14" t="s">
        <v>132</v>
      </c>
      <c r="C46" s="14"/>
      <c r="D46" s="14"/>
      <c r="E46" s="2">
        <v>1</v>
      </c>
      <c r="F46" s="2" t="s">
        <v>12</v>
      </c>
      <c r="G46" s="3">
        <v>122.99</v>
      </c>
      <c r="H46" s="3">
        <f t="shared" ref="H46:H51" si="8">G46</f>
        <v>122.99</v>
      </c>
      <c r="I46" s="8">
        <f t="shared" si="7"/>
        <v>12299</v>
      </c>
      <c r="J46" s="15" t="s">
        <v>166</v>
      </c>
      <c r="K46" s="16"/>
      <c r="L46" s="17"/>
      <c r="M46" s="15" t="s">
        <v>124</v>
      </c>
      <c r="N46" s="17"/>
      <c r="O46" s="6" t="s">
        <v>165</v>
      </c>
      <c r="P46" s="1" t="s">
        <v>17</v>
      </c>
    </row>
    <row r="47" spans="1:16" x14ac:dyDescent="0.25">
      <c r="A47" s="22"/>
      <c r="B47" s="14" t="s">
        <v>133</v>
      </c>
      <c r="C47" s="14"/>
      <c r="D47" s="14"/>
      <c r="E47" s="2">
        <v>324</v>
      </c>
      <c r="F47" s="2" t="s">
        <v>159</v>
      </c>
      <c r="G47" s="3">
        <v>15.99</v>
      </c>
      <c r="H47" s="3">
        <f t="shared" si="8"/>
        <v>15.99</v>
      </c>
      <c r="I47" s="3">
        <f t="shared" si="7"/>
        <v>1599</v>
      </c>
      <c r="J47" s="15" t="s">
        <v>161</v>
      </c>
      <c r="K47" s="16"/>
      <c r="L47" s="17"/>
      <c r="M47" s="15" t="s">
        <v>124</v>
      </c>
      <c r="N47" s="17"/>
      <c r="O47" s="5" t="s">
        <v>160</v>
      </c>
      <c r="P47" s="1" t="s">
        <v>17</v>
      </c>
    </row>
    <row r="48" spans="1:16" x14ac:dyDescent="0.25">
      <c r="A48" s="22"/>
      <c r="B48" s="14" t="s">
        <v>134</v>
      </c>
      <c r="C48" s="14"/>
      <c r="D48" s="14"/>
      <c r="E48" s="2">
        <v>24</v>
      </c>
      <c r="F48" s="2" t="s">
        <v>143</v>
      </c>
      <c r="G48" s="3">
        <v>16.79</v>
      </c>
      <c r="H48" s="3">
        <f t="shared" si="8"/>
        <v>16.79</v>
      </c>
      <c r="I48" s="3">
        <f>H48*24</f>
        <v>402.96</v>
      </c>
      <c r="J48" s="15" t="s">
        <v>147</v>
      </c>
      <c r="K48" s="16"/>
      <c r="L48" s="17"/>
      <c r="M48" s="15" t="s">
        <v>138</v>
      </c>
      <c r="N48" s="17"/>
      <c r="O48" s="5" t="s">
        <v>146</v>
      </c>
      <c r="P48" s="1" t="s">
        <v>17</v>
      </c>
    </row>
    <row r="49" spans="1:16" x14ac:dyDescent="0.25">
      <c r="A49" s="22"/>
      <c r="B49" s="14" t="s">
        <v>135</v>
      </c>
      <c r="C49" s="14"/>
      <c r="D49" s="14"/>
      <c r="E49" s="2">
        <v>24</v>
      </c>
      <c r="F49" s="2" t="s">
        <v>149</v>
      </c>
      <c r="G49" s="3">
        <v>7.35</v>
      </c>
      <c r="H49" s="3">
        <f t="shared" si="8"/>
        <v>7.35</v>
      </c>
      <c r="I49" s="3">
        <f>H49*50</f>
        <v>367.5</v>
      </c>
      <c r="J49" s="15" t="s">
        <v>148</v>
      </c>
      <c r="K49" s="16"/>
      <c r="L49" s="17"/>
      <c r="M49" s="15" t="s">
        <v>138</v>
      </c>
      <c r="N49" s="17"/>
      <c r="O49" s="5" t="s">
        <v>167</v>
      </c>
      <c r="P49" s="1" t="s">
        <v>17</v>
      </c>
    </row>
    <row r="50" spans="1:16" x14ac:dyDescent="0.25">
      <c r="A50" s="22"/>
      <c r="B50" s="14" t="s">
        <v>156</v>
      </c>
      <c r="C50" s="14"/>
      <c r="D50" s="14"/>
      <c r="E50" s="2">
        <v>3.5</v>
      </c>
      <c r="F50" s="2" t="s">
        <v>163</v>
      </c>
      <c r="G50" s="3">
        <v>9.49</v>
      </c>
      <c r="H50" s="3">
        <f t="shared" si="8"/>
        <v>9.49</v>
      </c>
      <c r="I50" s="3">
        <f>H50*6</f>
        <v>56.94</v>
      </c>
      <c r="J50" s="15" t="s">
        <v>164</v>
      </c>
      <c r="K50" s="16"/>
      <c r="L50" s="17"/>
      <c r="M50" s="15" t="s">
        <v>124</v>
      </c>
      <c r="N50" s="17"/>
      <c r="O50" s="6" t="s">
        <v>162</v>
      </c>
      <c r="P50" s="1" t="s">
        <v>17</v>
      </c>
    </row>
    <row r="51" spans="1:16" x14ac:dyDescent="0.25">
      <c r="A51" s="23"/>
      <c r="B51" s="14" t="s">
        <v>169</v>
      </c>
      <c r="C51" s="14"/>
      <c r="D51" s="14"/>
      <c r="E51" s="2">
        <v>3</v>
      </c>
      <c r="F51" s="2" t="s">
        <v>170</v>
      </c>
      <c r="G51" s="3">
        <v>364.86</v>
      </c>
      <c r="H51" s="3">
        <f t="shared" si="8"/>
        <v>364.86</v>
      </c>
      <c r="I51" s="3">
        <f>H51</f>
        <v>364.86</v>
      </c>
      <c r="J51" s="15" t="s">
        <v>168</v>
      </c>
      <c r="K51" s="16"/>
      <c r="L51" s="17"/>
      <c r="M51" s="15" t="s">
        <v>15</v>
      </c>
      <c r="N51" s="17"/>
      <c r="O51" s="5" t="s">
        <v>171</v>
      </c>
      <c r="P51" s="1" t="s">
        <v>17</v>
      </c>
    </row>
    <row r="52" spans="1:16" x14ac:dyDescent="0.25">
      <c r="A52" s="14" t="s">
        <v>121</v>
      </c>
      <c r="B52" s="14" t="s">
        <v>172</v>
      </c>
      <c r="C52" s="14"/>
      <c r="D52" s="14"/>
      <c r="E52" s="2">
        <v>174</v>
      </c>
      <c r="F52" s="2" t="s">
        <v>176</v>
      </c>
      <c r="G52" s="3">
        <v>50</v>
      </c>
      <c r="H52" s="10">
        <f>G52*E52</f>
        <v>8700</v>
      </c>
      <c r="I52" s="3">
        <f>H52</f>
        <v>8700</v>
      </c>
      <c r="J52" s="15" t="s">
        <v>117</v>
      </c>
      <c r="K52" s="16"/>
      <c r="L52" s="17"/>
      <c r="M52" s="15" t="s">
        <v>117</v>
      </c>
      <c r="N52" s="17"/>
      <c r="O52" s="6" t="s">
        <v>117</v>
      </c>
      <c r="P52" s="1" t="s">
        <v>17</v>
      </c>
    </row>
    <row r="53" spans="1:16" x14ac:dyDescent="0.25">
      <c r="A53" s="14"/>
      <c r="B53" s="14" t="s">
        <v>173</v>
      </c>
      <c r="C53" s="14"/>
      <c r="D53" s="14"/>
      <c r="E53" s="2">
        <v>66</v>
      </c>
      <c r="F53" s="2" t="s">
        <v>176</v>
      </c>
      <c r="G53" s="3">
        <v>50</v>
      </c>
      <c r="H53" s="10">
        <f t="shared" ref="H53:H55" si="9">G53*E53</f>
        <v>3300</v>
      </c>
      <c r="I53" s="3">
        <f t="shared" ref="I53:I55" si="10">H53</f>
        <v>3300</v>
      </c>
      <c r="J53" s="15" t="s">
        <v>117</v>
      </c>
      <c r="K53" s="16"/>
      <c r="L53" s="17"/>
      <c r="M53" s="15" t="s">
        <v>117</v>
      </c>
      <c r="N53" s="17"/>
      <c r="O53" s="6" t="s">
        <v>117</v>
      </c>
      <c r="P53" s="1" t="s">
        <v>17</v>
      </c>
    </row>
    <row r="54" spans="1:16" x14ac:dyDescent="0.25">
      <c r="A54" s="14"/>
      <c r="B54" s="14" t="s">
        <v>174</v>
      </c>
      <c r="C54" s="14"/>
      <c r="D54" s="14"/>
      <c r="E54" s="2">
        <v>84</v>
      </c>
      <c r="F54" s="2" t="s">
        <v>176</v>
      </c>
      <c r="G54" s="3">
        <v>50</v>
      </c>
      <c r="H54" s="10">
        <f t="shared" si="9"/>
        <v>4200</v>
      </c>
      <c r="I54" s="3">
        <f t="shared" si="10"/>
        <v>4200</v>
      </c>
      <c r="J54" s="15" t="s">
        <v>117</v>
      </c>
      <c r="K54" s="16"/>
      <c r="L54" s="17"/>
      <c r="M54" s="15" t="s">
        <v>117</v>
      </c>
      <c r="N54" s="17"/>
      <c r="O54" s="6" t="s">
        <v>117</v>
      </c>
      <c r="P54" s="1" t="s">
        <v>17</v>
      </c>
    </row>
    <row r="55" spans="1:16" x14ac:dyDescent="0.25">
      <c r="A55" s="14"/>
      <c r="B55" s="14" t="s">
        <v>175</v>
      </c>
      <c r="C55" s="14"/>
      <c r="D55" s="14"/>
      <c r="E55" s="2">
        <v>104</v>
      </c>
      <c r="F55" s="2" t="s">
        <v>176</v>
      </c>
      <c r="G55" s="3">
        <v>50</v>
      </c>
      <c r="H55" s="10">
        <f t="shared" si="9"/>
        <v>5200</v>
      </c>
      <c r="I55" s="3">
        <f t="shared" si="10"/>
        <v>5200</v>
      </c>
      <c r="J55" s="15" t="s">
        <v>117</v>
      </c>
      <c r="K55" s="16"/>
      <c r="L55" s="17"/>
      <c r="M55" s="15" t="s">
        <v>117</v>
      </c>
      <c r="N55" s="17"/>
      <c r="O55" s="6" t="s">
        <v>117</v>
      </c>
      <c r="P55" s="1" t="s">
        <v>17</v>
      </c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 s="1" t="s">
        <v>17</v>
      </c>
    </row>
  </sheetData>
  <mergeCells count="168">
    <mergeCell ref="A52:A55"/>
    <mergeCell ref="B51:D51"/>
    <mergeCell ref="J51:L51"/>
    <mergeCell ref="M51:N51"/>
    <mergeCell ref="B52:D52"/>
    <mergeCell ref="J52:L52"/>
    <mergeCell ref="M52:N52"/>
    <mergeCell ref="B49:D49"/>
    <mergeCell ref="J49:L49"/>
    <mergeCell ref="M49:N49"/>
    <mergeCell ref="B50:D50"/>
    <mergeCell ref="J50:L50"/>
    <mergeCell ref="M50:N50"/>
    <mergeCell ref="B55:D55"/>
    <mergeCell ref="J55:L55"/>
    <mergeCell ref="M55:N55"/>
    <mergeCell ref="B53:D53"/>
    <mergeCell ref="J53:L53"/>
    <mergeCell ref="M53:N53"/>
    <mergeCell ref="B54:D54"/>
    <mergeCell ref="J54:L54"/>
    <mergeCell ref="M54:N54"/>
    <mergeCell ref="A36:A51"/>
    <mergeCell ref="B39:D39"/>
    <mergeCell ref="J39:L39"/>
    <mergeCell ref="M39:N39"/>
    <mergeCell ref="B40:D40"/>
    <mergeCell ref="J40:L40"/>
    <mergeCell ref="M40:N40"/>
    <mergeCell ref="B37:D37"/>
    <mergeCell ref="J37:L37"/>
    <mergeCell ref="M37:N37"/>
    <mergeCell ref="B47:D47"/>
    <mergeCell ref="J47:L47"/>
    <mergeCell ref="M47:N47"/>
    <mergeCell ref="B48:D48"/>
    <mergeCell ref="J48:L48"/>
    <mergeCell ref="M48:N48"/>
    <mergeCell ref="B45:D45"/>
    <mergeCell ref="J45:L45"/>
    <mergeCell ref="M45:N45"/>
    <mergeCell ref="B46:D46"/>
    <mergeCell ref="J46:L46"/>
    <mergeCell ref="M46:N46"/>
    <mergeCell ref="B43:D43"/>
    <mergeCell ref="J43:L43"/>
    <mergeCell ref="M43:N43"/>
    <mergeCell ref="B44:D44"/>
    <mergeCell ref="J44:L44"/>
    <mergeCell ref="M44:N44"/>
    <mergeCell ref="S23:T23"/>
    <mergeCell ref="B41:D41"/>
    <mergeCell ref="J41:L41"/>
    <mergeCell ref="M41:N41"/>
    <mergeCell ref="B42:D42"/>
    <mergeCell ref="J42:L42"/>
    <mergeCell ref="M42:N42"/>
    <mergeCell ref="B38:D38"/>
    <mergeCell ref="J38:L38"/>
    <mergeCell ref="M38:N38"/>
    <mergeCell ref="B35:D35"/>
    <mergeCell ref="J35:L35"/>
    <mergeCell ref="M35:N35"/>
    <mergeCell ref="B36:D36"/>
    <mergeCell ref="J36:L36"/>
    <mergeCell ref="M36:N36"/>
    <mergeCell ref="M30:N30"/>
    <mergeCell ref="M25:N25"/>
    <mergeCell ref="M26:N26"/>
    <mergeCell ref="M27:N27"/>
    <mergeCell ref="B33:D33"/>
    <mergeCell ref="J33:L33"/>
    <mergeCell ref="M33:N33"/>
    <mergeCell ref="B34:D34"/>
    <mergeCell ref="J34:L34"/>
    <mergeCell ref="M34:N34"/>
    <mergeCell ref="B31:D31"/>
    <mergeCell ref="J31:L31"/>
    <mergeCell ref="M31:N31"/>
    <mergeCell ref="B32:D32"/>
    <mergeCell ref="J32:L32"/>
    <mergeCell ref="M32:N32"/>
    <mergeCell ref="M29:N29"/>
    <mergeCell ref="B20:D20"/>
    <mergeCell ref="B21:D21"/>
    <mergeCell ref="B18:D18"/>
    <mergeCell ref="B19:D19"/>
    <mergeCell ref="B16:D16"/>
    <mergeCell ref="B17:D17"/>
    <mergeCell ref="J20:L20"/>
    <mergeCell ref="B30:D30"/>
    <mergeCell ref="J30:L30"/>
    <mergeCell ref="B29:D29"/>
    <mergeCell ref="J29:L29"/>
    <mergeCell ref="J21:L21"/>
    <mergeCell ref="B26:D26"/>
    <mergeCell ref="B27:D27"/>
    <mergeCell ref="B24:D24"/>
    <mergeCell ref="B25:D25"/>
    <mergeCell ref="B22:D22"/>
    <mergeCell ref="B23:D23"/>
    <mergeCell ref="B8:D8"/>
    <mergeCell ref="B12:D12"/>
    <mergeCell ref="B28:D28"/>
    <mergeCell ref="J28:L28"/>
    <mergeCell ref="M28:N28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J22:L22"/>
    <mergeCell ref="J23:L23"/>
    <mergeCell ref="J24:L24"/>
    <mergeCell ref="J25:L25"/>
    <mergeCell ref="J26:L26"/>
    <mergeCell ref="J27:L27"/>
    <mergeCell ref="J16:L16"/>
    <mergeCell ref="M7:N7"/>
    <mergeCell ref="M8:N8"/>
    <mergeCell ref="M9:N9"/>
    <mergeCell ref="M10:N10"/>
    <mergeCell ref="M11:N11"/>
    <mergeCell ref="M12:N12"/>
    <mergeCell ref="J8:L8"/>
    <mergeCell ref="J9:L9"/>
    <mergeCell ref="M1:N1"/>
    <mergeCell ref="M2:N2"/>
    <mergeCell ref="M3:N3"/>
    <mergeCell ref="M4:N4"/>
    <mergeCell ref="M5:N5"/>
    <mergeCell ref="M6:N6"/>
    <mergeCell ref="B14:D14"/>
    <mergeCell ref="B15:D15"/>
    <mergeCell ref="B11:D11"/>
    <mergeCell ref="B13:D13"/>
    <mergeCell ref="B10:D10"/>
    <mergeCell ref="B9:D9"/>
    <mergeCell ref="J17:L17"/>
    <mergeCell ref="J18:L18"/>
    <mergeCell ref="J19:L19"/>
    <mergeCell ref="J10:L10"/>
    <mergeCell ref="J11:L11"/>
    <mergeCell ref="J12:L12"/>
    <mergeCell ref="J13:L13"/>
    <mergeCell ref="J14:L14"/>
    <mergeCell ref="J15:L15"/>
    <mergeCell ref="B6:D6"/>
    <mergeCell ref="B7:D7"/>
    <mergeCell ref="B4:D4"/>
    <mergeCell ref="B5:D5"/>
    <mergeCell ref="B3:D3"/>
    <mergeCell ref="J1:L1"/>
    <mergeCell ref="J2:L2"/>
    <mergeCell ref="J3:L3"/>
    <mergeCell ref="B1:D1"/>
    <mergeCell ref="B2:D2"/>
    <mergeCell ref="J4:L4"/>
    <mergeCell ref="J5:L5"/>
    <mergeCell ref="J6:L6"/>
    <mergeCell ref="J7:L7"/>
  </mergeCells>
  <phoneticPr fontId="2" type="noConversion"/>
  <hyperlinks>
    <hyperlink ref="O2" r:id="rId1" xr:uid="{2767E776-52B2-43AC-92E8-353000EA5A52}"/>
    <hyperlink ref="O4" r:id="rId2" xr:uid="{AD38A359-892A-4CC0-8A2B-3AEA9A020ADF}"/>
    <hyperlink ref="O3" r:id="rId3" xr:uid="{274EE7A6-810F-4AFD-A1F9-75A7A391F401}"/>
    <hyperlink ref="O5" r:id="rId4" xr:uid="{85EEEB66-C9FE-42DB-89BD-EA7D356A1B4E}"/>
    <hyperlink ref="O6" r:id="rId5" xr:uid="{F10AB507-FD24-4136-A8E8-D539A1D90A61}"/>
    <hyperlink ref="O7" r:id="rId6" xr:uid="{4AD7211A-D043-4B68-9BD9-3AA660DB7A79}"/>
    <hyperlink ref="O9" r:id="rId7" xr:uid="{E9047827-D8FA-49AB-96F7-D922407FEF25}"/>
    <hyperlink ref="O8" r:id="rId8" xr:uid="{A59A9445-CF85-4166-9B24-054921936A3A}"/>
    <hyperlink ref="O12" r:id="rId9" xr:uid="{2F933496-043F-4008-9693-E019305106F0}"/>
    <hyperlink ref="O13" r:id="rId10" xr:uid="{353F5FAF-70F2-4306-8FAB-B4B99B77EA06}"/>
    <hyperlink ref="O10" r:id="rId11" xr:uid="{6059AF9B-2529-473B-A616-C1AF4CB9CAF0}"/>
    <hyperlink ref="O11" r:id="rId12" xr:uid="{AC458480-3FF6-402C-882A-E6D908623AC7}"/>
    <hyperlink ref="O14" r:id="rId13" xr:uid="{9B557622-954B-4F02-A38A-9CC1E0CC2834}"/>
    <hyperlink ref="O15" r:id="rId14" xr:uid="{5E22E427-FEB0-4DF1-8DC6-EEBB318D21FD}"/>
    <hyperlink ref="O16" r:id="rId15" xr:uid="{EEA9E5FB-77F9-4E85-B372-E6471888123C}"/>
    <hyperlink ref="O17" r:id="rId16" xr:uid="{E3C7BD07-FE33-40E8-820B-F34BBDEB481C}"/>
    <hyperlink ref="O18" r:id="rId17" xr:uid="{DB75FED8-41FE-4C03-9A31-2E39FBBBFBF1}"/>
    <hyperlink ref="O20" r:id="rId18" xr:uid="{F2D82862-F3EC-42CE-AED4-CD7E75669918}"/>
    <hyperlink ref="O23" r:id="rId19" xr:uid="{309798CA-32D1-4CF7-AB38-49FBDB3520CE}"/>
    <hyperlink ref="O22" r:id="rId20" xr:uid="{B1541A12-2CBB-4782-89E5-9450940B77A8}"/>
    <hyperlink ref="O21" r:id="rId21" xr:uid="{F35C35FA-AA57-401A-A0E0-36EF3268F365}"/>
    <hyperlink ref="O19" r:id="rId22" xr:uid="{A001550C-DDC8-485E-8E09-8FD4175EB38F}"/>
    <hyperlink ref="O24" r:id="rId23" xr:uid="{2C70AA15-46F5-4EB8-9EF5-A4E3C9178004}"/>
    <hyperlink ref="O25" r:id="rId24" xr:uid="{528557EA-50DB-4975-8853-1FD06376B8A8}"/>
    <hyperlink ref="O26" r:id="rId25" xr:uid="{F853B772-9FCE-4C21-A4DE-97797B33DFA1}"/>
    <hyperlink ref="O27" r:id="rId26" xr:uid="{35EFF1FC-FBBB-4AEA-BA00-D13A61BB0FEA}"/>
    <hyperlink ref="O28" r:id="rId27" xr:uid="{5A9A1DA4-D847-4270-B2CF-E2000C3F136B}"/>
    <hyperlink ref="O29" r:id="rId28" xr:uid="{425CD28F-FDC4-4973-BAB7-BA2E69335084}"/>
    <hyperlink ref="O30" r:id="rId29" xr:uid="{CCB667BA-F411-4033-8321-4010DB1131EE}"/>
    <hyperlink ref="O31" r:id="rId30" xr:uid="{9D76D360-9330-434E-8456-653B2A47DCB3}"/>
    <hyperlink ref="O36" r:id="rId31" display="https://www.amazon.com/Aluminum-Extrusion-European-Standard-15-75inch/dp/B08Y8M383Q/ref=sr_1_3?crid=10883RZZXSWPW&amp;dib=eyJ2IjoiMSJ9.R0pNkpJiePxW5PZW6Cx9TqbYKh6DJ7vX0c8IJTY_hgAuZ7Xfcx_Abdzvy06gyu8OpJ7BLuKiGunkvq_Oxtd1malU4J154OrVggfBDgNCf6t_5HDnq2iTngpOknsXVsFkeTOCgSw5A7Cg8Qva84ekDkkxmpCs-0v5UOG4x1aKWGHJkX-9uGm8cmRmWmAwfHXzHKxxhvs7sDy_aWrXp0LSUcixYsNwJTyZLsLrzwT9Q40.fAWqPADHFPPY9TG5JHmtgD84EOwH5wXmVgbRexFomdk&amp;dib_tag=se&amp;keywords=2020%2Bextrusion&amp;qid=1765860638&amp;sprefix=2020%2Bextr%2Caps%2C145&amp;sr=8-3&amp;th=1" xr:uid="{2E7E098A-2A74-4F37-9FE6-792B363E0159}"/>
    <hyperlink ref="O37" r:id="rId32" xr:uid="{D5E552FE-E5CB-4248-B77D-AAABE2A03837}"/>
    <hyperlink ref="O39" r:id="rId33" xr:uid="{6E805F1D-422F-43FC-BF10-A17536FBB607}"/>
    <hyperlink ref="O40" r:id="rId34" xr:uid="{04870974-62BA-4E48-874E-EC4D0946286B}"/>
    <hyperlink ref="O48" r:id="rId35" xr:uid="{D557D2CF-2714-44C4-8C73-C4CCA6E50BDC}"/>
    <hyperlink ref="O43" r:id="rId36" xr:uid="{66062E42-4AD8-4B63-BC15-EC060E565EA7}"/>
    <hyperlink ref="O42" r:id="rId37" xr:uid="{64AB047A-E601-4717-BAD4-8B1D5E788074}"/>
    <hyperlink ref="O41" r:id="rId38" xr:uid="{D1B32BA3-F244-4F1A-89E8-518ABE6D9BD0}"/>
    <hyperlink ref="O47" r:id="rId39" display="https://www.amazon.com/SUNLU-Printer-Filament-Dimensional-Clear/dp/B0C3J1X41K/ref=sr_1_3?crid=1BF4C1AVVVY7C&amp;dib=eyJ2IjoiMSJ9.uHO_RtwANQlBn3JFBGzMz6yLSKkCiyms4KGRLjWbiEagAVCCQ_8TvtLDb82fJtvj-x1KzB_EOAZWDwSrN9MeaBNOUz7G4iZUkzUNhATqWjaG-poMpEajUeJfe8KPZMrffqaFCdjRZS_Xjq-sCnZzU9sWMIzPoHzjgFmpRhugbrsY0U-nkdxETIaDoKiS328mH4CxsC41QfBRqLhl2N_krrwMRaTOGlcN8B2R8gZiA8Q.KyZp65f3fsAqrUWuYANhgbrDXv_W8jqW9DbxSCrzvBE&amp;dib_tag=se&amp;keywords=transparent%2Borange%2B1.75mm&amp;qid=1765862903&amp;sprefix=transparent%2Borange%2B1.75mm%2B%2Caps%2C127&amp;sr=8-3&amp;th=1" xr:uid="{1A860C3B-8705-4CB7-A458-75F27794B65F}"/>
    <hyperlink ref="O49" r:id="rId40" xr:uid="{36D6A204-29CC-496A-AA9D-E59534869F95}"/>
    <hyperlink ref="O51" r:id="rId41" xr:uid="{F92F3D5B-C987-429A-9A61-8F4EE2728279}"/>
    <hyperlink ref="O45" r:id="rId42" xr:uid="{8C9C17B2-FFD0-4424-B973-040410501A83}"/>
    <hyperlink ref="O44" r:id="rId43" xr:uid="{7D1E339D-72D7-4B02-9CD0-9399ACFC68BA}"/>
    <hyperlink ref="O38" r:id="rId44" display="https://www.amazon.com/Yaocom-European-Standard-Aluminum-Extrusion/dp/B0DX7B5ZNN/ref=sr_1_3?dib=eyJ2IjoiMSJ9.dnPBW5BnGWFI7alZa4I2U-eVIo5GXTpxHJ9tQMCOqZxXMZPrh3lK9sBZdB6eNKI7a_ZoQK8DljT8j86EjeJB-TgIjBv-7rR1aWPd3Za75LvZ6xV36SRWb3nkD_9LcJV4SBCgqPJvykjxeW4zMrXNekWu9XvrzbX6PY3tsirpeNhu1zFpZ2WD0UqR3vN_whM5FQffhRQ2tPdUu8WPP_oVwzEKxtiEkEmALW8h0yRnwVY.X_WCrDJoZ7GpA7NadGh_qshU4Mp-sX0PWu2dVc1ia4c&amp;dib_tag=se&amp;keywords=m5%2B2020%2Bnut&amp;qid=1766005804&amp;sr=8-3&amp;th=1" xr:uid="{76E4D916-016C-41F3-AC21-753F29DBF30F}"/>
  </hyperlinks>
  <pageMargins left="0.7" right="0.7" top="0.75" bottom="0.75" header="0.3" footer="0.3"/>
  <pageSetup orientation="landscape" horizontalDpi="4294967295" verticalDpi="4294967295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6FC2-9302-4B96-8DEA-F758E4D39AA9}">
  <dimension ref="A1:K33"/>
  <sheetViews>
    <sheetView workbookViewId="0">
      <selection activeCell="C2" sqref="C2:C33"/>
    </sheetView>
  </sheetViews>
  <sheetFormatPr defaultRowHeight="15" x14ac:dyDescent="0.25"/>
  <cols>
    <col min="3" max="3" width="9.140625" customWidth="1"/>
    <col min="5" max="5" width="20.7109375" customWidth="1"/>
    <col min="6" max="6" width="9.140625" customWidth="1"/>
    <col min="8" max="8" width="15.7109375" customWidth="1"/>
    <col min="9" max="9" width="9.140625" customWidth="1"/>
    <col min="11" max="11" width="10.7109375" customWidth="1"/>
  </cols>
  <sheetData>
    <row r="1" spans="1:11" ht="15" customHeight="1" x14ac:dyDescent="0.25">
      <c r="A1" s="25" t="s">
        <v>184</v>
      </c>
      <c r="C1" s="2" t="s">
        <v>0</v>
      </c>
      <c r="D1" s="14" t="s">
        <v>1</v>
      </c>
      <c r="E1" s="14"/>
      <c r="F1" s="14"/>
      <c r="G1" s="2" t="s">
        <v>2</v>
      </c>
      <c r="H1" s="2" t="s">
        <v>10</v>
      </c>
      <c r="I1" s="3" t="s">
        <v>3</v>
      </c>
      <c r="J1" s="3" t="s">
        <v>4</v>
      </c>
      <c r="K1" s="3" t="s">
        <v>9</v>
      </c>
    </row>
    <row r="2" spans="1:11" x14ac:dyDescent="0.25">
      <c r="A2" s="25"/>
      <c r="C2" s="24" t="s">
        <v>118</v>
      </c>
      <c r="D2" s="14" t="s">
        <v>13</v>
      </c>
      <c r="E2" s="14"/>
      <c r="F2" s="14"/>
      <c r="G2" s="2">
        <v>27</v>
      </c>
      <c r="H2" s="2" t="s">
        <v>12</v>
      </c>
      <c r="I2" s="3">
        <v>0.2</v>
      </c>
      <c r="J2" s="3">
        <f t="shared" ref="J2:J14" si="0">I2*G2</f>
        <v>5.4</v>
      </c>
      <c r="K2" s="3">
        <f t="shared" ref="K2:K33" si="1">J2*100</f>
        <v>540</v>
      </c>
    </row>
    <row r="3" spans="1:11" x14ac:dyDescent="0.25">
      <c r="A3" s="25"/>
      <c r="C3" s="24"/>
      <c r="D3" s="14" t="s">
        <v>11</v>
      </c>
      <c r="E3" s="14"/>
      <c r="F3" s="14"/>
      <c r="G3" s="2">
        <v>37</v>
      </c>
      <c r="H3" s="2" t="s">
        <v>12</v>
      </c>
      <c r="I3" s="3">
        <v>0.91</v>
      </c>
      <c r="J3" s="3">
        <f t="shared" si="0"/>
        <v>33.67</v>
      </c>
      <c r="K3" s="3">
        <f t="shared" si="1"/>
        <v>3367</v>
      </c>
    </row>
    <row r="4" spans="1:11" x14ac:dyDescent="0.25">
      <c r="C4" s="24"/>
      <c r="D4" s="14" t="s">
        <v>18</v>
      </c>
      <c r="E4" s="14"/>
      <c r="F4" s="14"/>
      <c r="G4" s="2">
        <v>4</v>
      </c>
      <c r="H4" s="2" t="s">
        <v>12</v>
      </c>
      <c r="I4" s="3">
        <v>2.83</v>
      </c>
      <c r="J4" s="3">
        <f t="shared" si="0"/>
        <v>11.32</v>
      </c>
      <c r="K4" s="3">
        <f t="shared" si="1"/>
        <v>1132</v>
      </c>
    </row>
    <row r="5" spans="1:11" x14ac:dyDescent="0.25">
      <c r="C5" s="24"/>
      <c r="D5" s="14" t="s">
        <v>24</v>
      </c>
      <c r="E5" s="14"/>
      <c r="F5" s="14"/>
      <c r="G5" s="2">
        <v>8</v>
      </c>
      <c r="H5" s="2" t="s">
        <v>12</v>
      </c>
      <c r="I5" s="3">
        <v>1.02</v>
      </c>
      <c r="J5" s="3">
        <f t="shared" si="0"/>
        <v>8.16</v>
      </c>
      <c r="K5" s="3">
        <f t="shared" si="1"/>
        <v>816</v>
      </c>
    </row>
    <row r="6" spans="1:11" x14ac:dyDescent="0.25">
      <c r="C6" s="24"/>
      <c r="D6" s="14" t="s">
        <v>27</v>
      </c>
      <c r="E6" s="14"/>
      <c r="F6" s="14"/>
      <c r="G6" s="2">
        <v>4</v>
      </c>
      <c r="H6" s="2" t="s">
        <v>12</v>
      </c>
      <c r="I6" s="3">
        <v>4.9800000000000004</v>
      </c>
      <c r="J6" s="3">
        <f t="shared" si="0"/>
        <v>19.920000000000002</v>
      </c>
      <c r="K6" s="3">
        <f t="shared" si="1"/>
        <v>1992.0000000000002</v>
      </c>
    </row>
    <row r="7" spans="1:11" x14ac:dyDescent="0.25">
      <c r="C7" s="24"/>
      <c r="D7" s="14" t="s">
        <v>34</v>
      </c>
      <c r="E7" s="14"/>
      <c r="F7" s="14"/>
      <c r="G7" s="2">
        <v>53</v>
      </c>
      <c r="H7" s="2" t="s">
        <v>12</v>
      </c>
      <c r="I7" s="3">
        <v>1.67</v>
      </c>
      <c r="J7" s="3">
        <f t="shared" si="0"/>
        <v>88.509999999999991</v>
      </c>
      <c r="K7" s="3">
        <f t="shared" si="1"/>
        <v>8851</v>
      </c>
    </row>
    <row r="8" spans="1:11" x14ac:dyDescent="0.25">
      <c r="C8" s="24"/>
      <c r="D8" s="14" t="s">
        <v>31</v>
      </c>
      <c r="E8" s="14"/>
      <c r="F8" s="14"/>
      <c r="G8" s="2">
        <v>12</v>
      </c>
      <c r="H8" s="2" t="s">
        <v>12</v>
      </c>
      <c r="I8" s="3">
        <v>0.33</v>
      </c>
      <c r="J8" s="3">
        <f t="shared" si="0"/>
        <v>3.96</v>
      </c>
      <c r="K8" s="3">
        <f t="shared" si="1"/>
        <v>396</v>
      </c>
    </row>
    <row r="9" spans="1:11" x14ac:dyDescent="0.25">
      <c r="C9" s="24"/>
      <c r="D9" s="14" t="s">
        <v>32</v>
      </c>
      <c r="E9" s="14"/>
      <c r="F9" s="14"/>
      <c r="G9" s="2">
        <v>46</v>
      </c>
      <c r="H9" s="2" t="s">
        <v>12</v>
      </c>
      <c r="I9" s="3">
        <v>0.34</v>
      </c>
      <c r="J9" s="3">
        <f t="shared" si="0"/>
        <v>15.64</v>
      </c>
      <c r="K9" s="3">
        <f t="shared" si="1"/>
        <v>1564</v>
      </c>
    </row>
    <row r="10" spans="1:11" x14ac:dyDescent="0.25">
      <c r="C10" s="24"/>
      <c r="D10" s="14" t="s">
        <v>35</v>
      </c>
      <c r="E10" s="14"/>
      <c r="F10" s="14"/>
      <c r="G10" s="2">
        <v>14</v>
      </c>
      <c r="H10" s="2" t="s">
        <v>12</v>
      </c>
      <c r="I10" s="3">
        <v>3.69</v>
      </c>
      <c r="J10" s="3">
        <f t="shared" si="0"/>
        <v>51.66</v>
      </c>
      <c r="K10" s="3">
        <f t="shared" si="1"/>
        <v>5166</v>
      </c>
    </row>
    <row r="11" spans="1:11" x14ac:dyDescent="0.25">
      <c r="C11" s="24"/>
      <c r="D11" s="14" t="s">
        <v>33</v>
      </c>
      <c r="E11" s="14"/>
      <c r="F11" s="14"/>
      <c r="G11" s="2">
        <v>12</v>
      </c>
      <c r="H11" s="2" t="s">
        <v>12</v>
      </c>
      <c r="I11" s="3">
        <v>0.54</v>
      </c>
      <c r="J11" s="3">
        <f t="shared" si="0"/>
        <v>6.48</v>
      </c>
      <c r="K11" s="3">
        <f t="shared" si="1"/>
        <v>648</v>
      </c>
    </row>
    <row r="12" spans="1:11" x14ac:dyDescent="0.25">
      <c r="C12" s="24"/>
      <c r="D12" s="14" t="s">
        <v>42</v>
      </c>
      <c r="E12" s="14"/>
      <c r="F12" s="14"/>
      <c r="G12" s="2">
        <v>188</v>
      </c>
      <c r="H12" s="2" t="s">
        <v>12</v>
      </c>
      <c r="I12" s="3">
        <v>0.1</v>
      </c>
      <c r="J12" s="3">
        <f t="shared" si="0"/>
        <v>18.8</v>
      </c>
      <c r="K12" s="3">
        <f t="shared" si="1"/>
        <v>1880</v>
      </c>
    </row>
    <row r="13" spans="1:11" x14ac:dyDescent="0.25">
      <c r="C13" s="24"/>
      <c r="D13" s="14" t="s">
        <v>43</v>
      </c>
      <c r="E13" s="14"/>
      <c r="F13" s="14"/>
      <c r="G13" s="2">
        <v>24</v>
      </c>
      <c r="H13" s="2" t="s">
        <v>12</v>
      </c>
      <c r="I13" s="3">
        <v>0.1</v>
      </c>
      <c r="J13" s="3">
        <f t="shared" si="0"/>
        <v>2.4000000000000004</v>
      </c>
      <c r="K13" s="3">
        <f t="shared" si="1"/>
        <v>240.00000000000003</v>
      </c>
    </row>
    <row r="14" spans="1:11" x14ac:dyDescent="0.25">
      <c r="C14" s="24"/>
      <c r="D14" s="14" t="s">
        <v>52</v>
      </c>
      <c r="E14" s="14"/>
      <c r="F14" s="14"/>
      <c r="G14" s="2">
        <v>3</v>
      </c>
      <c r="H14" s="2" t="s">
        <v>12</v>
      </c>
      <c r="I14" s="3">
        <v>0.28999999999999998</v>
      </c>
      <c r="J14" s="3">
        <f t="shared" si="0"/>
        <v>0.86999999999999988</v>
      </c>
      <c r="K14" s="3">
        <f t="shared" si="1"/>
        <v>86.999999999999986</v>
      </c>
    </row>
    <row r="15" spans="1:11" x14ac:dyDescent="0.25">
      <c r="C15" s="24"/>
      <c r="D15" s="14" t="s">
        <v>55</v>
      </c>
      <c r="E15" s="14"/>
      <c r="F15" s="14"/>
      <c r="G15" s="2">
        <v>28</v>
      </c>
      <c r="H15" s="2" t="s">
        <v>56</v>
      </c>
      <c r="I15" s="3">
        <v>4.51</v>
      </c>
      <c r="J15" s="3">
        <f>I15</f>
        <v>4.51</v>
      </c>
      <c r="K15" s="3">
        <f t="shared" si="1"/>
        <v>451</v>
      </c>
    </row>
    <row r="16" spans="1:11" x14ac:dyDescent="0.25">
      <c r="C16" s="24"/>
      <c r="D16" s="14" t="s">
        <v>59</v>
      </c>
      <c r="E16" s="14"/>
      <c r="F16" s="14"/>
      <c r="G16" s="2">
        <v>8</v>
      </c>
      <c r="H16" s="2" t="s">
        <v>12</v>
      </c>
      <c r="I16" s="3">
        <v>5.87</v>
      </c>
      <c r="J16" s="3">
        <f>I16*G16</f>
        <v>46.96</v>
      </c>
      <c r="K16" s="3">
        <f t="shared" si="1"/>
        <v>4696</v>
      </c>
    </row>
    <row r="17" spans="3:11" x14ac:dyDescent="0.25">
      <c r="C17" s="24"/>
      <c r="D17" s="14" t="s">
        <v>62</v>
      </c>
      <c r="E17" s="14"/>
      <c r="F17" s="14"/>
      <c r="G17" s="2">
        <v>5</v>
      </c>
      <c r="H17" s="2" t="s">
        <v>12</v>
      </c>
      <c r="I17" s="3">
        <v>0.33</v>
      </c>
      <c r="J17" s="3">
        <f>I17*G17</f>
        <v>1.6500000000000001</v>
      </c>
      <c r="K17" s="3">
        <f t="shared" si="1"/>
        <v>165</v>
      </c>
    </row>
    <row r="18" spans="3:11" x14ac:dyDescent="0.25">
      <c r="C18" s="24"/>
      <c r="D18" s="14" t="s">
        <v>65</v>
      </c>
      <c r="E18" s="14"/>
      <c r="F18" s="14"/>
      <c r="G18" s="2">
        <v>4</v>
      </c>
      <c r="H18" s="2" t="s">
        <v>12</v>
      </c>
      <c r="I18" s="3">
        <v>4.28</v>
      </c>
      <c r="J18" s="3">
        <f>I18*G18</f>
        <v>17.12</v>
      </c>
      <c r="K18" s="3">
        <f t="shared" si="1"/>
        <v>1712</v>
      </c>
    </row>
    <row r="19" spans="3:11" x14ac:dyDescent="0.25">
      <c r="C19" s="24"/>
      <c r="D19" s="14" t="s">
        <v>68</v>
      </c>
      <c r="E19" s="14"/>
      <c r="F19" s="14"/>
      <c r="G19" s="2">
        <v>48</v>
      </c>
      <c r="H19" s="2" t="s">
        <v>12</v>
      </c>
      <c r="I19" s="3">
        <v>0.25</v>
      </c>
      <c r="J19" s="3">
        <f>I19*G19</f>
        <v>12</v>
      </c>
      <c r="K19" s="3">
        <f t="shared" si="1"/>
        <v>1200</v>
      </c>
    </row>
    <row r="20" spans="3:11" x14ac:dyDescent="0.25">
      <c r="C20" s="24"/>
      <c r="D20" s="14" t="s">
        <v>69</v>
      </c>
      <c r="E20" s="14"/>
      <c r="F20" s="14"/>
      <c r="G20" s="2">
        <v>1</v>
      </c>
      <c r="H20" s="2" t="s">
        <v>12</v>
      </c>
      <c r="I20" s="3">
        <v>2.4300000000000002</v>
      </c>
      <c r="J20" s="3">
        <f t="shared" ref="J20:J33" si="2">I20*G20</f>
        <v>2.4300000000000002</v>
      </c>
      <c r="K20" s="3">
        <f t="shared" si="1"/>
        <v>243.00000000000003</v>
      </c>
    </row>
    <row r="21" spans="3:11" x14ac:dyDescent="0.25">
      <c r="C21" s="24"/>
      <c r="D21" s="14" t="s">
        <v>70</v>
      </c>
      <c r="E21" s="14"/>
      <c r="F21" s="14"/>
      <c r="G21" s="2">
        <v>6</v>
      </c>
      <c r="H21" s="2" t="s">
        <v>12</v>
      </c>
      <c r="I21" s="3">
        <v>0.1</v>
      </c>
      <c r="J21" s="3">
        <f t="shared" si="2"/>
        <v>0.60000000000000009</v>
      </c>
      <c r="K21" s="3">
        <f t="shared" si="1"/>
        <v>60.000000000000007</v>
      </c>
    </row>
    <row r="22" spans="3:11" x14ac:dyDescent="0.25">
      <c r="C22" s="24"/>
      <c r="D22" s="14" t="s">
        <v>71</v>
      </c>
      <c r="E22" s="14"/>
      <c r="F22" s="14"/>
      <c r="G22" s="2">
        <v>4</v>
      </c>
      <c r="H22" s="2" t="s">
        <v>12</v>
      </c>
      <c r="I22" s="3">
        <v>0.49</v>
      </c>
      <c r="J22" s="3">
        <f t="shared" si="2"/>
        <v>1.96</v>
      </c>
      <c r="K22" s="3">
        <f t="shared" si="1"/>
        <v>196</v>
      </c>
    </row>
    <row r="23" spans="3:11" x14ac:dyDescent="0.25">
      <c r="C23" s="24"/>
      <c r="D23" s="14" t="s">
        <v>72</v>
      </c>
      <c r="E23" s="14"/>
      <c r="F23" s="14"/>
      <c r="G23" s="2">
        <v>1</v>
      </c>
      <c r="H23" s="2" t="s">
        <v>12</v>
      </c>
      <c r="I23" s="3">
        <v>2.5299999999999998</v>
      </c>
      <c r="J23" s="3">
        <f t="shared" si="2"/>
        <v>2.5299999999999998</v>
      </c>
      <c r="K23" s="3">
        <f t="shared" si="1"/>
        <v>252.99999999999997</v>
      </c>
    </row>
    <row r="24" spans="3:11" x14ac:dyDescent="0.25">
      <c r="C24" s="24"/>
      <c r="D24" s="14" t="s">
        <v>83</v>
      </c>
      <c r="E24" s="14"/>
      <c r="F24" s="14"/>
      <c r="G24" s="2">
        <v>24</v>
      </c>
      <c r="H24" s="2" t="s">
        <v>12</v>
      </c>
      <c r="I24" s="3">
        <v>1.75</v>
      </c>
      <c r="J24" s="3">
        <f t="shared" si="2"/>
        <v>42</v>
      </c>
      <c r="K24" s="3">
        <f t="shared" si="1"/>
        <v>4200</v>
      </c>
    </row>
    <row r="25" spans="3:11" x14ac:dyDescent="0.25">
      <c r="C25" s="24"/>
      <c r="D25" s="14" t="s">
        <v>86</v>
      </c>
      <c r="E25" s="14"/>
      <c r="F25" s="14"/>
      <c r="G25" s="2">
        <v>2</v>
      </c>
      <c r="H25" s="2" t="s">
        <v>12</v>
      </c>
      <c r="I25" s="3">
        <v>2.35</v>
      </c>
      <c r="J25" s="3">
        <f t="shared" si="2"/>
        <v>4.7</v>
      </c>
      <c r="K25" s="3">
        <f t="shared" si="1"/>
        <v>470</v>
      </c>
    </row>
    <row r="26" spans="3:11" x14ac:dyDescent="0.25">
      <c r="C26" s="24"/>
      <c r="D26" s="14" t="s">
        <v>89</v>
      </c>
      <c r="E26" s="14"/>
      <c r="F26" s="14"/>
      <c r="G26" s="2">
        <v>3</v>
      </c>
      <c r="H26" s="2" t="s">
        <v>12</v>
      </c>
      <c r="I26" s="3">
        <v>0.31</v>
      </c>
      <c r="J26" s="3">
        <f t="shared" si="2"/>
        <v>0.92999999999999994</v>
      </c>
      <c r="K26" s="3">
        <f t="shared" si="1"/>
        <v>93</v>
      </c>
    </row>
    <row r="27" spans="3:11" x14ac:dyDescent="0.25">
      <c r="C27" s="24"/>
      <c r="D27" s="14" t="s">
        <v>90</v>
      </c>
      <c r="E27" s="14"/>
      <c r="F27" s="14"/>
      <c r="G27" s="2">
        <v>2</v>
      </c>
      <c r="H27" s="2" t="s">
        <v>12</v>
      </c>
      <c r="I27" s="3">
        <v>0.59</v>
      </c>
      <c r="J27" s="3">
        <f t="shared" si="2"/>
        <v>1.18</v>
      </c>
      <c r="K27" s="3">
        <f t="shared" si="1"/>
        <v>118</v>
      </c>
    </row>
    <row r="28" spans="3:11" x14ac:dyDescent="0.25">
      <c r="C28" s="24"/>
      <c r="D28" s="14" t="s">
        <v>95</v>
      </c>
      <c r="E28" s="14"/>
      <c r="F28" s="14"/>
      <c r="G28" s="2">
        <v>1</v>
      </c>
      <c r="H28" s="2" t="s">
        <v>12</v>
      </c>
      <c r="I28" s="3">
        <v>3.45</v>
      </c>
      <c r="J28" s="3">
        <f t="shared" si="2"/>
        <v>3.45</v>
      </c>
      <c r="K28" s="3">
        <f t="shared" si="1"/>
        <v>345</v>
      </c>
    </row>
    <row r="29" spans="3:11" x14ac:dyDescent="0.25">
      <c r="C29" s="24"/>
      <c r="D29" s="14" t="s">
        <v>98</v>
      </c>
      <c r="E29" s="14"/>
      <c r="F29" s="14"/>
      <c r="G29" s="2">
        <v>6</v>
      </c>
      <c r="H29" s="2" t="s">
        <v>12</v>
      </c>
      <c r="I29" s="3">
        <v>1.1000000000000001</v>
      </c>
      <c r="J29" s="3">
        <f t="shared" si="2"/>
        <v>6.6000000000000005</v>
      </c>
      <c r="K29" s="3">
        <f t="shared" si="1"/>
        <v>660</v>
      </c>
    </row>
    <row r="30" spans="3:11" x14ac:dyDescent="0.25">
      <c r="C30" s="24"/>
      <c r="D30" s="14" t="s">
        <v>101</v>
      </c>
      <c r="E30" s="14"/>
      <c r="F30" s="14"/>
      <c r="G30" s="2">
        <v>3</v>
      </c>
      <c r="H30" s="2" t="s">
        <v>12</v>
      </c>
      <c r="I30" s="3">
        <v>2.63</v>
      </c>
      <c r="J30" s="3">
        <f t="shared" si="2"/>
        <v>7.89</v>
      </c>
      <c r="K30" s="3">
        <f t="shared" si="1"/>
        <v>789</v>
      </c>
    </row>
    <row r="31" spans="3:11" x14ac:dyDescent="0.25">
      <c r="C31" s="24"/>
      <c r="D31" s="14" t="s">
        <v>104</v>
      </c>
      <c r="E31" s="14"/>
      <c r="F31" s="14"/>
      <c r="G31" s="2">
        <v>110</v>
      </c>
      <c r="H31" s="2" t="s">
        <v>105</v>
      </c>
      <c r="I31" s="3">
        <v>1.17</v>
      </c>
      <c r="J31" s="3">
        <f t="shared" si="2"/>
        <v>128.69999999999999</v>
      </c>
      <c r="K31" s="8">
        <f t="shared" si="1"/>
        <v>12869.999999999998</v>
      </c>
    </row>
    <row r="32" spans="3:11" x14ac:dyDescent="0.25">
      <c r="C32" s="24"/>
      <c r="D32" s="14" t="s">
        <v>108</v>
      </c>
      <c r="E32" s="14"/>
      <c r="F32" s="14"/>
      <c r="G32" s="2">
        <v>1</v>
      </c>
      <c r="H32" s="2" t="s">
        <v>12</v>
      </c>
      <c r="I32" s="3">
        <v>3.36</v>
      </c>
      <c r="J32" s="3">
        <f t="shared" si="2"/>
        <v>3.36</v>
      </c>
      <c r="K32" s="3">
        <f t="shared" si="1"/>
        <v>336</v>
      </c>
    </row>
    <row r="33" spans="3:11" x14ac:dyDescent="0.25">
      <c r="C33" s="24"/>
      <c r="D33" s="14" t="s">
        <v>109</v>
      </c>
      <c r="E33" s="14"/>
      <c r="F33" s="14"/>
      <c r="G33" s="2">
        <v>2</v>
      </c>
      <c r="H33" s="2" t="s">
        <v>12</v>
      </c>
      <c r="I33" s="3">
        <v>2.99</v>
      </c>
      <c r="J33" s="3">
        <f t="shared" si="2"/>
        <v>5.98</v>
      </c>
      <c r="K33" s="3">
        <f t="shared" si="1"/>
        <v>598</v>
      </c>
    </row>
  </sheetData>
  <mergeCells count="35">
    <mergeCell ref="D12:F12"/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24:F24"/>
    <mergeCell ref="D13:F13"/>
    <mergeCell ref="D14:F14"/>
    <mergeCell ref="D15:F15"/>
    <mergeCell ref="D16:F16"/>
    <mergeCell ref="D17:F17"/>
    <mergeCell ref="D18:F18"/>
    <mergeCell ref="D31:F31"/>
    <mergeCell ref="D32:F32"/>
    <mergeCell ref="D33:F33"/>
    <mergeCell ref="C2:C33"/>
    <mergeCell ref="A1:A3"/>
    <mergeCell ref="D25:F25"/>
    <mergeCell ref="D26:F26"/>
    <mergeCell ref="D27:F27"/>
    <mergeCell ref="D28:F28"/>
    <mergeCell ref="D29:F29"/>
    <mergeCell ref="D30:F30"/>
    <mergeCell ref="D19:F19"/>
    <mergeCell ref="D20:F20"/>
    <mergeCell ref="D21:F21"/>
    <mergeCell ref="D22:F22"/>
    <mergeCell ref="D23:F23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F804-9B81-4207-8124-1363A484F869}">
  <dimension ref="A1:K28"/>
  <sheetViews>
    <sheetView tabSelected="1" workbookViewId="0">
      <selection activeCell="N13" sqref="N13"/>
    </sheetView>
  </sheetViews>
  <sheetFormatPr defaultRowHeight="15" x14ac:dyDescent="0.25"/>
  <cols>
    <col min="3" max="3" width="9.140625" customWidth="1"/>
    <col min="5" max="5" width="20.7109375" customWidth="1"/>
    <col min="6" max="6" width="9.140625" customWidth="1"/>
    <col min="8" max="8" width="15.7109375" customWidth="1"/>
    <col min="9" max="9" width="9.140625" customWidth="1"/>
    <col min="11" max="11" width="10.7109375" customWidth="1"/>
  </cols>
  <sheetData>
    <row r="1" spans="1:11" x14ac:dyDescent="0.25">
      <c r="A1" s="25" t="s">
        <v>185</v>
      </c>
    </row>
    <row r="2" spans="1:11" x14ac:dyDescent="0.25">
      <c r="A2" s="25"/>
    </row>
    <row r="3" spans="1:11" x14ac:dyDescent="0.25">
      <c r="A3" s="25"/>
    </row>
    <row r="6" spans="1:11" x14ac:dyDescent="0.25">
      <c r="C6" s="2" t="s">
        <v>0</v>
      </c>
      <c r="D6" s="14" t="s">
        <v>1</v>
      </c>
      <c r="E6" s="14"/>
      <c r="F6" s="14"/>
      <c r="G6" s="2" t="s">
        <v>2</v>
      </c>
      <c r="H6" s="2" t="s">
        <v>10</v>
      </c>
      <c r="I6" s="3" t="s">
        <v>3</v>
      </c>
      <c r="J6" s="3" t="s">
        <v>4</v>
      </c>
      <c r="K6" s="3" t="s">
        <v>9</v>
      </c>
    </row>
    <row r="7" spans="1:11" x14ac:dyDescent="0.25">
      <c r="C7" s="14" t="s">
        <v>118</v>
      </c>
      <c r="D7" s="14" t="s">
        <v>110</v>
      </c>
      <c r="E7" s="14"/>
      <c r="F7" s="14"/>
      <c r="G7" s="2">
        <v>6</v>
      </c>
      <c r="H7" s="2" t="s">
        <v>12</v>
      </c>
      <c r="I7" s="3">
        <v>3.14</v>
      </c>
      <c r="J7" s="3">
        <f t="shared" ref="J7:J9" si="0">I7*G7</f>
        <v>18.84</v>
      </c>
      <c r="K7" s="3">
        <f t="shared" ref="K7:K20" si="1">J7*100</f>
        <v>1884</v>
      </c>
    </row>
    <row r="8" spans="1:11" x14ac:dyDescent="0.25">
      <c r="C8" s="14"/>
      <c r="D8" s="14" t="s">
        <v>111</v>
      </c>
      <c r="E8" s="14"/>
      <c r="F8" s="14"/>
      <c r="G8" s="2">
        <v>1</v>
      </c>
      <c r="H8" s="2" t="s">
        <v>12</v>
      </c>
      <c r="I8" s="3">
        <v>3.79</v>
      </c>
      <c r="J8" s="3">
        <f t="shared" si="0"/>
        <v>3.79</v>
      </c>
      <c r="K8" s="3">
        <f t="shared" si="1"/>
        <v>379</v>
      </c>
    </row>
    <row r="9" spans="1:11" x14ac:dyDescent="0.25">
      <c r="C9" s="26" t="s">
        <v>120</v>
      </c>
      <c r="D9" s="14" t="s">
        <v>123</v>
      </c>
      <c r="E9" s="14"/>
      <c r="F9" s="14"/>
      <c r="G9" s="2">
        <v>14</v>
      </c>
      <c r="H9" s="2" t="s">
        <v>105</v>
      </c>
      <c r="I9" s="3">
        <v>4.5</v>
      </c>
      <c r="J9" s="3">
        <f t="shared" si="0"/>
        <v>63</v>
      </c>
      <c r="K9" s="3">
        <f t="shared" si="1"/>
        <v>6300</v>
      </c>
    </row>
    <row r="10" spans="1:11" x14ac:dyDescent="0.25">
      <c r="C10" s="27"/>
      <c r="D10" s="14" t="s">
        <v>128</v>
      </c>
      <c r="E10" s="14"/>
      <c r="F10" s="14"/>
      <c r="G10" s="2">
        <v>72</v>
      </c>
      <c r="H10" s="2" t="s">
        <v>136</v>
      </c>
      <c r="I10" s="3">
        <v>9.9600000000000009</v>
      </c>
      <c r="J10" s="3">
        <f>I10*3</f>
        <v>29.880000000000003</v>
      </c>
      <c r="K10" s="3">
        <f t="shared" si="1"/>
        <v>2988.0000000000005</v>
      </c>
    </row>
    <row r="11" spans="1:11" x14ac:dyDescent="0.25">
      <c r="C11" s="27"/>
      <c r="D11" s="14" t="s">
        <v>137</v>
      </c>
      <c r="E11" s="14"/>
      <c r="F11" s="14"/>
      <c r="G11" s="2">
        <v>72</v>
      </c>
      <c r="H11" s="2" t="s">
        <v>143</v>
      </c>
      <c r="I11" s="3">
        <v>9.99</v>
      </c>
      <c r="J11" s="3">
        <f t="shared" ref="J11:J16" si="2">I11</f>
        <v>9.99</v>
      </c>
      <c r="K11" s="3">
        <f t="shared" si="1"/>
        <v>999</v>
      </c>
    </row>
    <row r="12" spans="1:11" x14ac:dyDescent="0.25">
      <c r="C12" s="27"/>
      <c r="D12" s="14" t="s">
        <v>127</v>
      </c>
      <c r="E12" s="14"/>
      <c r="F12" s="14"/>
      <c r="G12" s="2">
        <v>48</v>
      </c>
      <c r="H12" s="2" t="s">
        <v>143</v>
      </c>
      <c r="I12" s="3">
        <v>11.71</v>
      </c>
      <c r="J12" s="3">
        <f t="shared" si="2"/>
        <v>11.71</v>
      </c>
      <c r="K12" s="3">
        <f>J12*50</f>
        <v>585.5</v>
      </c>
    </row>
    <row r="13" spans="1:11" x14ac:dyDescent="0.25">
      <c r="C13" s="27"/>
      <c r="D13" s="14" t="s">
        <v>129</v>
      </c>
      <c r="E13" s="14"/>
      <c r="F13" s="14"/>
      <c r="G13" s="2">
        <v>24</v>
      </c>
      <c r="H13" s="2" t="s">
        <v>143</v>
      </c>
      <c r="I13" s="3">
        <v>11.91</v>
      </c>
      <c r="J13" s="3">
        <f t="shared" si="2"/>
        <v>11.91</v>
      </c>
      <c r="K13" s="3">
        <f>J13*25</f>
        <v>297.75</v>
      </c>
    </row>
    <row r="14" spans="1:11" x14ac:dyDescent="0.25">
      <c r="C14" s="27"/>
      <c r="D14" s="14" t="s">
        <v>130</v>
      </c>
      <c r="E14" s="14"/>
      <c r="F14" s="14"/>
      <c r="G14" s="2">
        <f>28+12</f>
        <v>40</v>
      </c>
      <c r="H14" s="2" t="s">
        <v>143</v>
      </c>
      <c r="I14" s="3">
        <v>20.440000000000001</v>
      </c>
      <c r="J14" s="3">
        <f t="shared" si="2"/>
        <v>20.440000000000001</v>
      </c>
      <c r="K14" s="3">
        <f>J14*50</f>
        <v>1022.0000000000001</v>
      </c>
    </row>
    <row r="15" spans="1:11" x14ac:dyDescent="0.25">
      <c r="C15" s="27"/>
      <c r="D15" s="14" t="s">
        <v>158</v>
      </c>
      <c r="E15" s="14"/>
      <c r="F15" s="14"/>
      <c r="G15" s="2">
        <v>4</v>
      </c>
      <c r="H15" s="2" t="s">
        <v>136</v>
      </c>
      <c r="I15" s="3">
        <v>6.67</v>
      </c>
      <c r="J15" s="3">
        <f t="shared" si="2"/>
        <v>6.67</v>
      </c>
      <c r="K15" s="3">
        <f>J15*20</f>
        <v>133.4</v>
      </c>
    </row>
    <row r="16" spans="1:11" x14ac:dyDescent="0.25">
      <c r="C16" s="27"/>
      <c r="D16" s="14" t="s">
        <v>157</v>
      </c>
      <c r="E16" s="14"/>
      <c r="F16" s="14"/>
      <c r="G16" s="2">
        <v>4</v>
      </c>
      <c r="H16" s="2" t="s">
        <v>143</v>
      </c>
      <c r="I16" s="3">
        <v>6.9</v>
      </c>
      <c r="J16" s="3">
        <f t="shared" si="2"/>
        <v>6.9</v>
      </c>
      <c r="K16" s="3">
        <f>J16*5</f>
        <v>34.5</v>
      </c>
    </row>
    <row r="17" spans="3:11" x14ac:dyDescent="0.25">
      <c r="C17" s="27"/>
      <c r="D17" s="14" t="s">
        <v>131</v>
      </c>
      <c r="E17" s="14"/>
      <c r="F17" s="14"/>
      <c r="G17" s="2">
        <v>24</v>
      </c>
      <c r="H17" s="2" t="s">
        <v>12</v>
      </c>
      <c r="I17" s="3">
        <v>28.44</v>
      </c>
      <c r="J17" s="3">
        <f>I17*G17</f>
        <v>682.56000000000006</v>
      </c>
      <c r="K17" s="8">
        <f>J17*100</f>
        <v>68256</v>
      </c>
    </row>
    <row r="18" spans="3:11" x14ac:dyDescent="0.25">
      <c r="C18" s="27"/>
      <c r="D18" s="14" t="s">
        <v>177</v>
      </c>
      <c r="E18" s="14"/>
      <c r="F18" s="14"/>
      <c r="G18" s="2">
        <v>12</v>
      </c>
      <c r="H18" s="2" t="s">
        <v>12</v>
      </c>
      <c r="I18" s="3">
        <v>5</v>
      </c>
      <c r="J18" s="3">
        <f>I18*G18</f>
        <v>60</v>
      </c>
      <c r="K18" s="3">
        <f t="shared" si="1"/>
        <v>6000</v>
      </c>
    </row>
    <row r="19" spans="3:11" x14ac:dyDescent="0.25">
      <c r="C19" s="27"/>
      <c r="D19" s="14" t="s">
        <v>132</v>
      </c>
      <c r="E19" s="14"/>
      <c r="F19" s="14"/>
      <c r="G19" s="2">
        <v>1</v>
      </c>
      <c r="H19" s="2" t="s">
        <v>12</v>
      </c>
      <c r="I19" s="3">
        <v>122.99</v>
      </c>
      <c r="J19" s="3">
        <f t="shared" ref="J19:J24" si="3">I19</f>
        <v>122.99</v>
      </c>
      <c r="K19" s="8">
        <f t="shared" si="1"/>
        <v>12299</v>
      </c>
    </row>
    <row r="20" spans="3:11" x14ac:dyDescent="0.25">
      <c r="C20" s="27"/>
      <c r="D20" s="14" t="s">
        <v>133</v>
      </c>
      <c r="E20" s="14"/>
      <c r="F20" s="14"/>
      <c r="G20" s="2">
        <v>324</v>
      </c>
      <c r="H20" s="2" t="s">
        <v>159</v>
      </c>
      <c r="I20" s="3">
        <v>15.99</v>
      </c>
      <c r="J20" s="3">
        <f t="shared" si="3"/>
        <v>15.99</v>
      </c>
      <c r="K20" s="3">
        <f t="shared" si="1"/>
        <v>1599</v>
      </c>
    </row>
    <row r="21" spans="3:11" x14ac:dyDescent="0.25">
      <c r="C21" s="27"/>
      <c r="D21" s="14" t="s">
        <v>134</v>
      </c>
      <c r="E21" s="14"/>
      <c r="F21" s="14"/>
      <c r="G21" s="2">
        <v>24</v>
      </c>
      <c r="H21" s="2" t="s">
        <v>143</v>
      </c>
      <c r="I21" s="3">
        <v>16.79</v>
      </c>
      <c r="J21" s="3">
        <f t="shared" si="3"/>
        <v>16.79</v>
      </c>
      <c r="K21" s="3">
        <f>J21*24</f>
        <v>402.96</v>
      </c>
    </row>
    <row r="22" spans="3:11" x14ac:dyDescent="0.25">
      <c r="C22" s="27"/>
      <c r="D22" s="14" t="s">
        <v>135</v>
      </c>
      <c r="E22" s="14"/>
      <c r="F22" s="14"/>
      <c r="G22" s="2">
        <v>24</v>
      </c>
      <c r="H22" s="2" t="s">
        <v>149</v>
      </c>
      <c r="I22" s="3">
        <v>7.35</v>
      </c>
      <c r="J22" s="3">
        <f t="shared" si="3"/>
        <v>7.35</v>
      </c>
      <c r="K22" s="3">
        <f>J22*50</f>
        <v>367.5</v>
      </c>
    </row>
    <row r="23" spans="3:11" x14ac:dyDescent="0.25">
      <c r="C23" s="27"/>
      <c r="D23" s="14" t="s">
        <v>156</v>
      </c>
      <c r="E23" s="14"/>
      <c r="F23" s="14"/>
      <c r="G23" s="2">
        <v>3.5</v>
      </c>
      <c r="H23" s="2" t="s">
        <v>163</v>
      </c>
      <c r="I23" s="3">
        <v>9.49</v>
      </c>
      <c r="J23" s="3">
        <f t="shared" si="3"/>
        <v>9.49</v>
      </c>
      <c r="K23" s="3">
        <f>J23*6</f>
        <v>56.94</v>
      </c>
    </row>
    <row r="24" spans="3:11" x14ac:dyDescent="0.25">
      <c r="C24" s="28"/>
      <c r="D24" s="14" t="s">
        <v>169</v>
      </c>
      <c r="E24" s="14"/>
      <c r="F24" s="14"/>
      <c r="G24" s="2">
        <v>3</v>
      </c>
      <c r="H24" s="2" t="s">
        <v>170</v>
      </c>
      <c r="I24" s="3">
        <v>364.86</v>
      </c>
      <c r="J24" s="3">
        <f t="shared" si="3"/>
        <v>364.86</v>
      </c>
      <c r="K24" s="3">
        <f>J24</f>
        <v>364.86</v>
      </c>
    </row>
    <row r="25" spans="3:11" x14ac:dyDescent="0.25">
      <c r="C25" s="24" t="s">
        <v>121</v>
      </c>
      <c r="D25" s="14" t="s">
        <v>172</v>
      </c>
      <c r="E25" s="14"/>
      <c r="F25" s="14"/>
      <c r="G25" s="2">
        <v>174</v>
      </c>
      <c r="H25" s="2" t="s">
        <v>176</v>
      </c>
      <c r="I25" s="3">
        <v>50</v>
      </c>
      <c r="J25" s="10">
        <f>I25*G25</f>
        <v>8700</v>
      </c>
      <c r="K25" s="3">
        <f>J25</f>
        <v>8700</v>
      </c>
    </row>
    <row r="26" spans="3:11" x14ac:dyDescent="0.25">
      <c r="C26" s="24"/>
      <c r="D26" s="14" t="s">
        <v>173</v>
      </c>
      <c r="E26" s="14"/>
      <c r="F26" s="14"/>
      <c r="G26" s="2">
        <v>66</v>
      </c>
      <c r="H26" s="2" t="s">
        <v>176</v>
      </c>
      <c r="I26" s="3">
        <v>50</v>
      </c>
      <c r="J26" s="10">
        <f t="shared" ref="J26:J28" si="4">I26*G26</f>
        <v>3300</v>
      </c>
      <c r="K26" s="3">
        <f t="shared" ref="K26:K28" si="5">J26</f>
        <v>3300</v>
      </c>
    </row>
    <row r="27" spans="3:11" x14ac:dyDescent="0.25">
      <c r="C27" s="24"/>
      <c r="D27" s="14" t="s">
        <v>174</v>
      </c>
      <c r="E27" s="14"/>
      <c r="F27" s="14"/>
      <c r="G27" s="2">
        <v>84</v>
      </c>
      <c r="H27" s="2" t="s">
        <v>176</v>
      </c>
      <c r="I27" s="3">
        <v>50</v>
      </c>
      <c r="J27" s="10">
        <f t="shared" si="4"/>
        <v>4200</v>
      </c>
      <c r="K27" s="3">
        <f t="shared" si="5"/>
        <v>4200</v>
      </c>
    </row>
    <row r="28" spans="3:11" x14ac:dyDescent="0.25">
      <c r="C28" s="24"/>
      <c r="D28" s="14" t="s">
        <v>175</v>
      </c>
      <c r="E28" s="14"/>
      <c r="F28" s="14"/>
      <c r="G28" s="2">
        <v>104</v>
      </c>
      <c r="H28" s="2" t="s">
        <v>176</v>
      </c>
      <c r="I28" s="3">
        <v>50</v>
      </c>
      <c r="J28" s="10">
        <f t="shared" si="4"/>
        <v>5200</v>
      </c>
      <c r="K28" s="3">
        <f t="shared" si="5"/>
        <v>5200</v>
      </c>
    </row>
  </sheetData>
  <mergeCells count="27">
    <mergeCell ref="D24:F24"/>
    <mergeCell ref="C25:C28"/>
    <mergeCell ref="D25:F25"/>
    <mergeCell ref="D26:F26"/>
    <mergeCell ref="D27:F27"/>
    <mergeCell ref="D28:F28"/>
    <mergeCell ref="C9:C24"/>
    <mergeCell ref="D9:F9"/>
    <mergeCell ref="D10:F10"/>
    <mergeCell ref="D11:F11"/>
    <mergeCell ref="D12:F12"/>
    <mergeCell ref="D13:F13"/>
    <mergeCell ref="D14:F14"/>
    <mergeCell ref="C7:C8"/>
    <mergeCell ref="A1:A3"/>
    <mergeCell ref="D21:F21"/>
    <mergeCell ref="D22:F22"/>
    <mergeCell ref="D23:F23"/>
    <mergeCell ref="D15:F15"/>
    <mergeCell ref="D16:F16"/>
    <mergeCell ref="D17:F17"/>
    <mergeCell ref="D18:F18"/>
    <mergeCell ref="D19:F19"/>
    <mergeCell ref="D20:F20"/>
    <mergeCell ref="D6:F6"/>
    <mergeCell ref="D7:F7"/>
    <mergeCell ref="D8:F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Print1</vt:lpstr>
      <vt:lpstr>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Bell</dc:creator>
  <cp:lastModifiedBy>Justin Bell</cp:lastModifiedBy>
  <cp:lastPrinted>2025-12-18T16:37:57Z</cp:lastPrinted>
  <dcterms:created xsi:type="dcterms:W3CDTF">2025-12-16T03:05:16Z</dcterms:created>
  <dcterms:modified xsi:type="dcterms:W3CDTF">2025-12-18T16:38:01Z</dcterms:modified>
</cp:coreProperties>
</file>